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arket Data" sheetId="3" state="visible" r:id="rId3"/>
    <sheet xmlns:r="http://schemas.openxmlformats.org/officeDocument/2006/relationships" name="Ratio Analysis" sheetId="4" state="visible" r:id="rId4"/>
    <sheet xmlns:r="http://schemas.openxmlformats.org/officeDocument/2006/relationships" name="DuPont Analysis" sheetId="5" state="visible" r:id="rId5"/>
    <sheet xmlns:r="http://schemas.openxmlformats.org/officeDocument/2006/relationships" name="Capital Structure" sheetId="6" state="visible" r:id="rId6"/>
    <sheet xmlns:r="http://schemas.openxmlformats.org/officeDocument/2006/relationships" name="Leverage Threshold" sheetId="7" state="visible" r:id="rId7"/>
    <sheet xmlns:r="http://schemas.openxmlformats.org/officeDocument/2006/relationships" name="WACC" sheetId="8" state="visible" r:id="rId8"/>
    <sheet xmlns:r="http://schemas.openxmlformats.org/officeDocument/2006/relationships" name="Correlation Matrix" sheetId="9" state="visible" r:id="rId9"/>
    <sheet xmlns:r="http://schemas.openxmlformats.org/officeDocument/2006/relationships" name="Regression Analysis" sheetId="10" state="visible" r:id="rId10"/>
    <sheet xmlns:r="http://schemas.openxmlformats.org/officeDocument/2006/relationships" name="DCF - FCFF" sheetId="11" state="visible" r:id="rId11"/>
    <sheet xmlns:r="http://schemas.openxmlformats.org/officeDocument/2006/relationships" name="DCF - FCFE" sheetId="12" state="visible" r:id="rId12"/>
    <sheet xmlns:r="http://schemas.openxmlformats.org/officeDocument/2006/relationships" name="Comps" sheetId="13" state="visible" r:id="rId13"/>
    <sheet xmlns:r="http://schemas.openxmlformats.org/officeDocument/2006/relationships" name="Sensitivity Analysi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0.0&quot;x&quot;"/>
    <numFmt numFmtId="168" formatCode="0.000"/>
    <numFmt numFmtId="169" formatCode="0.0000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9"/>
    </font>
    <font>
      <b val="1"/>
      <color rgb="001F4E79"/>
      <sz val="11"/>
    </font>
    <font>
      <b val="1"/>
    </font>
    <font>
      <color rgb="000000CC"/>
    </font>
    <font>
      <color rgb="000563C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wrapText="1"/>
    </xf>
    <xf numFmtId="3" fontId="5" fillId="0" borderId="0" pivotButton="0" quotePrefix="0" xfId="0"/>
    <xf numFmtId="164" fontId="5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5" fillId="0" borderId="0" pivotButton="0" quotePrefix="0" xfId="0"/>
    <xf numFmtId="167" fontId="5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165" fontId="4" fillId="0" borderId="0" pivotButton="0" quotePrefix="0" xfId="0"/>
    <xf numFmtId="168" fontId="0" fillId="0" borderId="0" pivotButton="0" quotePrefix="0" xfId="0"/>
    <xf numFmtId="2" fontId="5" fillId="3" borderId="1" pivotButton="0" quotePrefix="0" xfId="0"/>
    <xf numFmtId="168" fontId="0" fillId="4" borderId="0" pivotButton="0" quotePrefix="0" xfId="0"/>
    <xf numFmtId="165" fontId="0" fillId="4" borderId="0" pivotButton="0" quotePrefix="0" xfId="0"/>
    <xf numFmtId="10" fontId="5" fillId="3" borderId="1" pivotButton="0" quotePrefix="0" xfId="0"/>
    <xf numFmtId="10" fontId="0" fillId="0" borderId="0" pivotButton="0" quotePrefix="0" xfId="0"/>
    <xf numFmtId="2" fontId="5" fillId="3" borderId="0" pivotButton="0" quotePrefix="0" xfId="0"/>
    <xf numFmtId="10" fontId="4" fillId="0" borderId="0" pivotButton="0" quotePrefix="0" xfId="0"/>
    <xf numFmtId="2" fontId="0" fillId="4" borderId="0" pivotButton="0" quotePrefix="0" xfId="0"/>
    <xf numFmtId="169" fontId="0" fillId="4" borderId="0" pivotButton="0" quotePrefix="0" xfId="0"/>
    <xf numFmtId="0" fontId="4" fillId="2" borderId="0" pivotButton="0" quotePrefix="0" xfId="0"/>
    <xf numFmtId="3" fontId="4" fillId="0" borderId="0" pivotButton="0" quotePrefix="0" xfId="0"/>
    <xf numFmtId="167" fontId="4" fillId="0" borderId="0" pivotButton="0" quotePrefix="0" xfId="0"/>
    <xf numFmtId="167" fontId="0" fillId="0" borderId="0" pivotButton="0" quotePrefix="0" xfId="0"/>
    <xf numFmtId="3" fontId="0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ROE by firm, FY2022–FY2026</a:t>
            </a:r>
          </a:p>
        </rich>
      </tx>
    </title>
    <plotArea>
      <lineChart>
        <grouping val="standard"/>
        <ser>
          <idx val="0"/>
          <order val="0"/>
          <tx>
            <strRef>
              <f>'Ratio Analysis'!O2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Analysis'!$N$3:$N$7</f>
            </numRef>
          </cat>
          <val>
            <numRef>
              <f>'Ratio Analysis'!$O$3:$O$7</f>
            </numRef>
          </val>
        </ser>
        <ser>
          <idx val="1"/>
          <order val="1"/>
          <tx>
            <strRef>
              <f>'Ratio Analysis'!P2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Analysis'!$N$3:$N$7</f>
            </numRef>
          </cat>
          <val>
            <numRef>
              <f>'Ratio Analysis'!$P$3:$P$7</f>
            </numRef>
          </val>
        </ser>
        <ser>
          <idx val="2"/>
          <order val="2"/>
          <tx>
            <strRef>
              <f>'Ratio Analysis'!Q2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Analysis'!$N$3:$N$7</f>
            </numRef>
          </cat>
          <val>
            <numRef>
              <f>'Ratio Analysis'!$Q$3:$Q$7</f>
            </numRef>
          </val>
        </ser>
        <ser>
          <idx val="3"/>
          <order val="3"/>
          <tx>
            <strRef>
              <f>'Ratio Analysis'!R2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Analysis'!$N$3:$N$7</f>
            </numRef>
          </cat>
          <val>
            <numRef>
              <f>'Ratio Analysis'!$R$3:$R$7</f>
            </numRef>
          </val>
        </ser>
        <ser>
          <idx val="4"/>
          <order val="4"/>
          <tx>
            <strRef>
              <f>'Ratio Analysis'!S2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Analysis'!$N$3:$N$7</f>
            </numRef>
          </cat>
          <val>
            <numRef>
              <f>'Ratio Analysis'!$S$3:$S$7</f>
            </numRef>
          </val>
        </ser>
        <ser>
          <idx val="5"/>
          <order val="5"/>
          <tx>
            <strRef>
              <f>'Ratio Analysis'!T2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Analysis'!$N$3:$N$7</f>
            </numRef>
          </cat>
          <val>
            <numRef>
              <f>'Ratio Analysis'!$T$3:$T$7</f>
            </numRef>
          </val>
        </ser>
        <ser>
          <idx val="6"/>
          <order val="6"/>
          <tx>
            <strRef>
              <f>'Ratio Analysis'!U2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Analysis'!$N$3:$N$7</f>
            </numRef>
          </cat>
          <val>
            <numRef>
              <f>'Ratio Analysis'!$U$3:$U$7</f>
            </numRef>
          </val>
        </ser>
        <ser>
          <idx val="7"/>
          <order val="7"/>
          <tx>
            <strRef>
              <f>'Ratio Analysis'!V2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Analysis'!$N$3:$N$7</f>
            </numRef>
          </cat>
          <val>
            <numRef>
              <f>'Ratio Analysis'!$V$3:$V$7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What drives ROE — ln(component) stacks to ln(ROE), latest FY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'DuPont Analysis'!M2</f>
            </strRef>
          </tx>
          <spPr>
            <a:ln xmlns:a="http://schemas.openxmlformats.org/drawingml/2006/main">
              <a:prstDash val="solid"/>
            </a:ln>
          </spPr>
          <cat>
            <numRef>
              <f>'DuPont Analysis'!$L$3:$L$10</f>
            </numRef>
          </cat>
          <val>
            <numRef>
              <f>'DuPont Analysis'!$M$3:$M$10</f>
            </numRef>
          </val>
        </ser>
        <ser>
          <idx val="1"/>
          <order val="1"/>
          <tx>
            <strRef>
              <f>'DuPont Analysis'!N2</f>
            </strRef>
          </tx>
          <spPr>
            <a:ln xmlns:a="http://schemas.openxmlformats.org/drawingml/2006/main">
              <a:prstDash val="solid"/>
            </a:ln>
          </spPr>
          <cat>
            <numRef>
              <f>'DuPont Analysis'!$L$3:$L$10</f>
            </numRef>
          </cat>
          <val>
            <numRef>
              <f>'DuPont Analysis'!$N$3:$N$10</f>
            </numRef>
          </val>
        </ser>
        <ser>
          <idx val="2"/>
          <order val="2"/>
          <tx>
            <strRef>
              <f>'DuPont Analysis'!O2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'DuPont Analysis'!$L$3:$L$10</f>
            </numRef>
          </cat>
          <val>
            <numRef>
              <f>'DuPont Analysis'!$O$3:$O$10</f>
            </numRef>
          </val>
        </ser>
        <ser>
          <idx val="3"/>
          <order val="3"/>
          <tx>
            <strRef>
              <f>'DuPont Analysis'!P2</f>
            </strRef>
          </tx>
          <spPr>
            <a:ln xmlns:a="http://schemas.openxmlformats.org/drawingml/2006/main">
              <a:prstDash val="solid"/>
            </a:ln>
          </spPr>
          <cat>
            <numRef>
              <f>'DuPont Analysis'!$L$3:$L$10</f>
            </numRef>
          </cat>
          <val>
            <numRef>
              <f>'DuPont Analysis'!$P$3:$P$10</f>
            </numRef>
          </val>
        </ser>
        <ser>
          <idx val="4"/>
          <order val="4"/>
          <tx>
            <strRef>
              <f>'DuPont Analysis'!Q2</f>
            </strRef>
          </tx>
          <spPr>
            <a:ln xmlns:a="http://schemas.openxmlformats.org/drawingml/2006/main">
              <a:prstDash val="solid"/>
            </a:ln>
          </spPr>
          <cat>
            <numRef>
              <f>'DuPont Analysis'!$L$3:$L$10</f>
            </numRef>
          </cat>
          <val>
            <numRef>
              <f>'DuPont Analysis'!$Q$3:$Q$10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D/E by firm and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'Capital Structure'!L2</f>
            </strRef>
          </tx>
          <spPr>
            <a:ln xmlns:a="http://schemas.openxmlformats.org/drawingml/2006/main">
              <a:prstDash val="solid"/>
            </a:ln>
          </spPr>
          <cat>
            <numRef>
              <f>'Capital Structure'!$K$3:$K$7</f>
            </numRef>
          </cat>
          <val>
            <numRef>
              <f>'Capital Structure'!$L$3:$L$7</f>
            </numRef>
          </val>
        </ser>
        <ser>
          <idx val="1"/>
          <order val="1"/>
          <tx>
            <strRef>
              <f>'Capital Structure'!M2</f>
            </strRef>
          </tx>
          <spPr>
            <a:ln xmlns:a="http://schemas.openxmlformats.org/drawingml/2006/main">
              <a:prstDash val="solid"/>
            </a:ln>
          </spPr>
          <cat>
            <numRef>
              <f>'Capital Structure'!$K$3:$K$7</f>
            </numRef>
          </cat>
          <val>
            <numRef>
              <f>'Capital Structure'!$M$3:$M$7</f>
            </numRef>
          </val>
        </ser>
        <ser>
          <idx val="2"/>
          <order val="2"/>
          <tx>
            <strRef>
              <f>'Capital Structure'!N2</f>
            </strRef>
          </tx>
          <spPr>
            <a:ln xmlns:a="http://schemas.openxmlformats.org/drawingml/2006/main">
              <a:prstDash val="solid"/>
            </a:ln>
          </spPr>
          <cat>
            <numRef>
              <f>'Capital Structure'!$K$3:$K$7</f>
            </numRef>
          </cat>
          <val>
            <numRef>
              <f>'Capital Structure'!$N$3:$N$7</f>
            </numRef>
          </val>
        </ser>
        <ser>
          <idx val="3"/>
          <order val="3"/>
          <tx>
            <strRef>
              <f>'Capital Structure'!O2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'Capital Structure'!$K$3:$K$7</f>
            </numRef>
          </cat>
          <val>
            <numRef>
              <f>'Capital Structure'!$O$3:$O$7</f>
            </numRef>
          </val>
        </ser>
        <ser>
          <idx val="4"/>
          <order val="4"/>
          <tx>
            <strRef>
              <f>'Capital Structure'!P2</f>
            </strRef>
          </tx>
          <spPr>
            <a:ln xmlns:a="http://schemas.openxmlformats.org/drawingml/2006/main">
              <a:prstDash val="solid"/>
            </a:ln>
          </spPr>
          <cat>
            <numRef>
              <f>'Capital Structure'!$K$3:$K$7</f>
            </numRef>
          </cat>
          <val>
            <numRef>
              <f>'Capital Structure'!$P$3:$P$7</f>
            </numRef>
          </val>
        </ser>
        <ser>
          <idx val="5"/>
          <order val="5"/>
          <tx>
            <strRef>
              <f>'Capital Structure'!Q2</f>
            </strRef>
          </tx>
          <spPr>
            <a:ln xmlns:a="http://schemas.openxmlformats.org/drawingml/2006/main">
              <a:prstDash val="solid"/>
            </a:ln>
          </spPr>
          <cat>
            <numRef>
              <f>'Capital Structure'!$K$3:$K$7</f>
            </numRef>
          </cat>
          <val>
            <numRef>
              <f>'Capital Structure'!$Q$3:$Q$7</f>
            </numRef>
          </val>
        </ser>
        <ser>
          <idx val="6"/>
          <order val="6"/>
          <tx>
            <strRef>
              <f>'Capital Structure'!R2</f>
            </strRef>
          </tx>
          <spPr>
            <a:ln xmlns:a="http://schemas.openxmlformats.org/drawingml/2006/main">
              <a:prstDash val="solid"/>
            </a:ln>
          </spPr>
          <cat>
            <numRef>
              <f>'Capital Structure'!$K$3:$K$7</f>
            </numRef>
          </cat>
          <val>
            <numRef>
              <f>'Capital Structure'!$R$3:$R$7</f>
            </numRef>
          </val>
        </ser>
        <ser>
          <idx val="7"/>
          <order val="7"/>
          <tx>
            <strRef>
              <f>'Capital Structure'!S2</f>
            </strRef>
          </tx>
          <spPr>
            <a:ln xmlns:a="http://schemas.openxmlformats.org/drawingml/2006/main">
              <a:prstDash val="solid"/>
            </a:ln>
          </spPr>
          <cat>
            <numRef>
              <f>'Capital Structure'!$K$3:$K$7</f>
            </numRef>
          </cat>
          <val>
            <numRef>
              <f>'Capital Structure'!$S$3:$S$7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Interest coverage (EBIT / Interest) — debt-servicing headroom</a:t>
            </a:r>
          </a:p>
        </rich>
      </tx>
    </title>
    <plotArea>
      <lineChart>
        <grouping val="standard"/>
        <ser>
          <idx val="0"/>
          <order val="0"/>
          <tx>
            <strRef>
              <f>'Capital Structure'!L11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'Capital Structure'!$K$12:$K$16</f>
            </numRef>
          </cat>
          <val>
            <numRef>
              <f>'Capital Structure'!$L$12:$L$16</f>
            </numRef>
          </val>
        </ser>
        <ser>
          <idx val="1"/>
          <order val="1"/>
          <tx>
            <strRef>
              <f>'Capital Structure'!M11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'Capital Structure'!$K$12:$K$16</f>
            </numRef>
          </cat>
          <val>
            <numRef>
              <f>'Capital Structure'!$M$12:$M$16</f>
            </numRef>
          </val>
        </ser>
        <ser>
          <idx val="2"/>
          <order val="2"/>
          <tx>
            <strRef>
              <f>'Capital Structure'!N11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'Capital Structure'!$K$12:$K$16</f>
            </numRef>
          </cat>
          <val>
            <numRef>
              <f>'Capital Structure'!$N$12:$N$16</f>
            </numRef>
          </val>
        </ser>
        <ser>
          <idx val="3"/>
          <order val="3"/>
          <tx>
            <strRef>
              <f>'Capital Structure'!O11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'Capital Structure'!$K$12:$K$16</f>
            </numRef>
          </cat>
          <val>
            <numRef>
              <f>'Capital Structure'!$O$12:$O$16</f>
            </numRef>
          </val>
        </ser>
        <ser>
          <idx val="4"/>
          <order val="4"/>
          <tx>
            <strRef>
              <f>'Capital Structure'!P11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'Capital Structure'!$K$12:$K$16</f>
            </numRef>
          </cat>
          <val>
            <numRef>
              <f>'Capital Structure'!$P$12:$P$16</f>
            </numRef>
          </val>
        </ser>
        <ser>
          <idx val="5"/>
          <order val="5"/>
          <tx>
            <strRef>
              <f>'Capital Structure'!Q11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'Capital Structure'!$K$12:$K$16</f>
            </numRef>
          </cat>
          <val>
            <numRef>
              <f>'Capital Structure'!$Q$12:$Q$16</f>
            </numRef>
          </val>
        </ser>
        <ser>
          <idx val="6"/>
          <order val="6"/>
          <tx>
            <strRef>
              <f>'Capital Structure'!R11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'Capital Structure'!$K$12:$K$16</f>
            </numRef>
          </cat>
          <val>
            <numRef>
              <f>'Capital Structure'!$R$12:$R$16</f>
            </numRef>
          </val>
        </ser>
        <ser>
          <idx val="7"/>
          <order val="7"/>
          <tx>
            <strRef>
              <f>'Capital Structure'!S11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'Capital Structure'!$K$12:$K$16</f>
            </numRef>
          </cat>
          <val>
            <numRef>
              <f>'Capital Structure'!$S$12:$S$16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ROE vs D/E — every firm-year (live cells)</a:t>
            </a:r>
          </a:p>
        </rich>
      </tx>
    </title>
    <plotArea>
      <scatterChart>
        <scatterStyle val="marker"/>
        <ser>
          <idx val="0"/>
          <order val="0"/>
          <tx>
            <v>firm-years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'Capital Structure'!$C$2:$C$41</f>
            </numRef>
          </xVal>
          <yVal>
            <numRef>
              <f>'Ratio Analysis'!$C$2:$C$41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Debt-to-Equity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ROE vs model-fitted ROE</a:t>
            </a:r>
          </a:p>
        </rich>
      </tx>
    </title>
    <plotArea>
      <scatterChart>
        <scatterStyle val="marker"/>
        <ser>
          <idx val="0"/>
          <order val="0"/>
          <tx>
            <v>firm-years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'Regression Analysis'!$M$6:$M$45</f>
            </numRef>
          </xVal>
          <yVal>
            <numRef>
              <f>'Regression Analysis'!$L$6:$L$45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Fitted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EV/EBITDA by firm (bars) — sector median (line)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'Comps'!G4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'Comps'!$A$5:$A$12</f>
            </numRef>
          </cat>
          <val>
            <numRef>
              <f>'Comps'!$G$5:$G$12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'Comps'!I4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'Comps'!$I$5:$I$12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18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36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46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1">
      <c r="A1" s="1" t="inlineStr">
        <is>
          <t>Capital Structure &amp; Valuation — Indian FMCG (FY2022–FY2026)</t>
        </is>
      </c>
    </row>
    <row r="2">
      <c r="A2" s="2" t="inlineStr">
        <is>
          <t>8 firms · Screener.in standalone statements · built by the analysis/scripts pipeline — regenerate with export_to_excel.py</t>
        </is>
      </c>
    </row>
    <row r="4">
      <c r="B4" s="3" t="inlineStr">
        <is>
          <t>The question</t>
        </is>
      </c>
      <c r="C4" t="inlineStr">
        <is>
          <t>Does capital structure explain profitability and valuation differences across Indian FMCG firms — and where does the optimal leverage band lie?</t>
        </is>
      </c>
    </row>
    <row r="6">
      <c r="B6" s="3" t="inlineStr">
        <is>
          <t>Sheets</t>
        </is>
      </c>
    </row>
    <row r="7">
      <c r="B7" s="4" t="inlineStr">
        <is>
          <t>Raw Data</t>
        </is>
      </c>
      <c r="C7" t="inlineStr">
        <is>
          <t>single source of truth — statement inputs (blue) + derived formula columns</t>
        </is>
      </c>
    </row>
    <row r="8">
      <c r="B8" s="4" t="inlineStr">
        <is>
          <t>Market Data</t>
        </is>
      </c>
      <c r="C8" t="inlineStr">
        <is>
          <t>July-2026 market snapshot per firm (inputs to WACC / DCF / Comps)</t>
        </is>
      </c>
    </row>
    <row r="9">
      <c r="B9" s="4" t="inlineStr">
        <is>
          <t>Ratio Analysis</t>
        </is>
      </c>
      <c r="C9" t="inlineStr">
        <is>
          <t>10 ratios per firm-year, live formulas + heatmaps + ROE trend chart</t>
        </is>
      </c>
    </row>
    <row r="10">
      <c r="B10" s="4" t="inlineStr">
        <is>
          <t>DuPont Analysis</t>
        </is>
      </c>
      <c r="C10" t="inlineStr">
        <is>
          <t>5-step ROE decomposition, identity check, ln-contribution chart</t>
        </is>
      </c>
    </row>
    <row r="11">
      <c r="B11" s="4" t="inlineStr">
        <is>
          <t>Capital Structure</t>
        </is>
      </c>
      <c r="C11" t="inlineStr">
        <is>
          <t>leverage bands via IF formulas + D/E and coverage charts</t>
        </is>
      </c>
    </row>
    <row r="12">
      <c r="B12" s="4" t="inlineStr">
        <is>
          <t>Leverage Threshold</t>
        </is>
      </c>
      <c r="C12" t="inlineStr">
        <is>
          <t>where ROE peaks across the D/E spectrum (python bins + live scatter)</t>
        </is>
      </c>
    </row>
    <row r="13">
      <c r="B13" s="4" t="inlineStr">
        <is>
          <t>WACC</t>
        </is>
      </c>
      <c r="C13" t="inlineStr">
        <is>
          <t>CAPM assumptions (yellow) → per-firm WACC + book-weight evolution</t>
        </is>
      </c>
    </row>
    <row r="14">
      <c r="B14" s="4" t="inlineStr">
        <is>
          <t>Correlation Matrix</t>
        </is>
      </c>
      <c r="C14" t="inlineStr">
        <is>
          <t>ratio correlation heatmap + multicollinearity shortlist</t>
        </is>
      </c>
    </row>
    <row r="15">
      <c r="B15" s="4" t="inlineStr">
        <is>
          <t>Regression Analysis</t>
        </is>
      </c>
      <c r="C15" t="inlineStr">
        <is>
          <t>OLS: ROE ~ D/E + NetMargin + log(assets), interpretation + fit plot</t>
        </is>
      </c>
    </row>
    <row r="16">
      <c r="B16" s="4" t="inlineStr">
        <is>
          <t>DCF - FCFF</t>
        </is>
      </c>
      <c r="C16" t="inlineStr">
        <is>
          <t>5-year FCFF DCF per firm → EV → equity → value per share vs market</t>
        </is>
      </c>
    </row>
    <row r="17">
      <c r="B17" s="4" t="inlineStr">
        <is>
          <t>DCF - FCFE</t>
        </is>
      </c>
      <c r="C17" t="inlineStr">
        <is>
          <t>equity-direct DCF at cost of equity; gap vs FCFF = leverage effect</t>
        </is>
      </c>
    </row>
    <row r="18">
      <c r="B18" s="4" t="inlineStr">
        <is>
          <t>Comps</t>
        </is>
      </c>
      <c r="C18" t="inlineStr">
        <is>
          <t>EV/EBITDA vs sector median — premium / discount flags</t>
        </is>
      </c>
    </row>
    <row r="19">
      <c r="B19" s="4" t="inlineStr">
        <is>
          <t>Sensitivity Analysis</t>
        </is>
      </c>
      <c r="C19" t="inlineStr">
        <is>
          <t>value-per-share grids: WACC ±200bp × terminal g 1–5% per firm</t>
        </is>
      </c>
    </row>
    <row r="21">
      <c r="B21" s="3" t="inlineStr">
        <is>
          <t>Colour legend</t>
        </is>
      </c>
    </row>
    <row r="22">
      <c r="B22" s="5" t="inlineStr">
        <is>
          <t>blue font</t>
        </is>
      </c>
      <c r="C22" t="inlineStr">
        <is>
          <t>hardcoded input — traceable to data/cleaned/ CSVs</t>
        </is>
      </c>
    </row>
    <row r="23">
      <c r="B23" t="inlineStr">
        <is>
          <t>black font</t>
        </is>
      </c>
      <c r="C23" t="inlineStr">
        <is>
          <t>live Excel formula — recalculates when Raw Data changes</t>
        </is>
      </c>
    </row>
    <row r="24">
      <c r="B24" s="6" t="inlineStr">
        <is>
          <t>yellow fill</t>
        </is>
      </c>
      <c r="C24" t="inlineStr">
        <is>
          <t>assumption meant to be challenged (Rf, ERP, beta, growth…)</t>
        </is>
      </c>
    </row>
    <row r="25">
      <c r="B25" s="7" t="inlineStr">
        <is>
          <t>grey fill</t>
        </is>
      </c>
      <c r="C25" t="inlineStr">
        <is>
          <t>computed in python (script credited beside the block)</t>
        </is>
      </c>
    </row>
    <row r="27">
      <c r="B27" s="3" t="inlineStr">
        <is>
          <t>Sources</t>
        </is>
      </c>
    </row>
    <row r="28">
      <c r="B28" t="inlineStr">
        <is>
          <t>HUL</t>
        </is>
      </c>
      <c r="C28" s="8" t="inlineStr">
        <is>
          <t>https://www.screener.in/company/HINDUNILVR/</t>
        </is>
      </c>
    </row>
    <row r="29">
      <c r="B29" t="inlineStr">
        <is>
          <t>ITC</t>
        </is>
      </c>
      <c r="C29" s="8" t="inlineStr">
        <is>
          <t>https://www.screener.in/company/ITC/</t>
        </is>
      </c>
    </row>
    <row r="30">
      <c r="B30" t="inlineStr">
        <is>
          <t>Dabur</t>
        </is>
      </c>
      <c r="C30" s="8" t="inlineStr">
        <is>
          <t>https://www.screener.in/company/DABUR/</t>
        </is>
      </c>
    </row>
    <row r="31">
      <c r="B31" t="inlineStr">
        <is>
          <t>Marico</t>
        </is>
      </c>
      <c r="C31" s="8" t="inlineStr">
        <is>
          <t>https://www.screener.in/company/MARICO/</t>
        </is>
      </c>
    </row>
    <row r="32">
      <c r="B32" t="inlineStr">
        <is>
          <t>Colgate</t>
        </is>
      </c>
      <c r="C32" s="8" t="inlineStr">
        <is>
          <t>https://www.screener.in/company/COLPAL/</t>
        </is>
      </c>
    </row>
    <row r="33">
      <c r="B33" t="inlineStr">
        <is>
          <t>Nestle</t>
        </is>
      </c>
      <c r="C33" s="8" t="inlineStr">
        <is>
          <t>https://www.screener.in/company/NESTLEIND/</t>
        </is>
      </c>
    </row>
    <row r="34">
      <c r="B34" t="inlineStr">
        <is>
          <t>Godrej</t>
        </is>
      </c>
      <c r="C34" s="8" t="inlineStr">
        <is>
          <t>https://www.screener.in/company/GODREJCP/</t>
        </is>
      </c>
    </row>
    <row r="35">
      <c r="B35" t="inlineStr">
        <is>
          <t>Emami</t>
        </is>
      </c>
      <c r="C35" s="8" t="inlineStr">
        <is>
          <t>https://www.screener.in/company/EMAMILTD/</t>
        </is>
      </c>
    </row>
    <row r="37">
      <c r="B37" s="2" t="inlineStr">
        <is>
          <t>Statements: standalone, FY2015–FY2026 scraped 2026-07 · schedules (cash, payables, capex detail) via the Screener schedules API · market snapshot as of July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9" t="inlineStr">
        <is>
          <t>Company</t>
        </is>
      </c>
      <c r="B1" s="9" t="inlineStr">
        <is>
          <t>Year</t>
        </is>
      </c>
      <c r="C1" s="9" t="inlineStr">
        <is>
          <t>Revenue</t>
        </is>
      </c>
      <c r="D1" s="9" t="inlineStr">
        <is>
          <t>OperatingProfit</t>
        </is>
      </c>
      <c r="E1" s="9" t="inlineStr">
        <is>
          <t>OtherIncome</t>
        </is>
      </c>
      <c r="F1" s="9" t="inlineStr">
        <is>
          <t>InterestExpense</t>
        </is>
      </c>
      <c r="G1" s="9" t="inlineStr">
        <is>
          <t>Depreciation</t>
        </is>
      </c>
      <c r="H1" s="9" t="inlineStr">
        <is>
          <t>PBT</t>
        </is>
      </c>
      <c r="I1" s="9" t="inlineStr">
        <is>
          <t>TaxPct</t>
        </is>
      </c>
      <c r="J1" s="9" t="inlineStr">
        <is>
          <t>NetProfit</t>
        </is>
      </c>
      <c r="K1" s="9" t="inlineStr">
        <is>
          <t>ShareCapital</t>
        </is>
      </c>
      <c r="L1" s="9" t="inlineStr">
        <is>
          <t>Reserves</t>
        </is>
      </c>
      <c r="M1" s="9" t="inlineStr">
        <is>
          <t>TotalDebt</t>
        </is>
      </c>
      <c r="N1" s="9" t="inlineStr">
        <is>
          <t>TotalAssets</t>
        </is>
      </c>
      <c r="O1" s="9" t="inlineStr">
        <is>
          <t>Cash</t>
        </is>
      </c>
      <c r="P1" s="9" t="inlineStr">
        <is>
          <t>Inventories</t>
        </is>
      </c>
      <c r="Q1" s="9" t="inlineStr">
        <is>
          <t>TradeReceivables</t>
        </is>
      </c>
      <c r="R1" s="9" t="inlineStr">
        <is>
          <t>OtherLiabilities</t>
        </is>
      </c>
      <c r="S1" s="9" t="inlineStr">
        <is>
          <t>OperatingCashFlow</t>
        </is>
      </c>
      <c r="T1" s="9" t="inlineStr">
        <is>
          <t>FreeCashFlow</t>
        </is>
      </c>
      <c r="U1" s="9" t="inlineStr">
        <is>
          <t>PrevTotalDebt</t>
        </is>
      </c>
      <c r="V1" s="9" t="inlineStr">
        <is>
          <t>TaxRate</t>
        </is>
      </c>
      <c r="W1" s="9" t="inlineStr">
        <is>
          <t>EBIT</t>
        </is>
      </c>
      <c r="X1" s="9" t="inlineStr">
        <is>
          <t>EBITDA</t>
        </is>
      </c>
      <c r="Y1" s="9" t="inlineStr">
        <is>
          <t>TotalEquity</t>
        </is>
      </c>
      <c r="Z1" s="9" t="inlineStr">
        <is>
          <t>CurrentAssets</t>
        </is>
      </c>
      <c r="AA1" s="9" t="inlineStr">
        <is>
          <t>CurrentLiabilities</t>
        </is>
      </c>
      <c r="AB1" s="9" t="inlineStr">
        <is>
          <t>Capex</t>
        </is>
      </c>
      <c r="AC1" s="9" t="inlineStr">
        <is>
          <t>NetBorrowing</t>
        </is>
      </c>
      <c r="AD1" s="9" t="inlineStr">
        <is>
          <t>SharesOutstanding</t>
        </is>
      </c>
    </row>
    <row r="2">
      <c r="A2" t="inlineStr">
        <is>
          <t>HUL</t>
        </is>
      </c>
      <c r="B2" t="inlineStr">
        <is>
          <t>FY2022</t>
        </is>
      </c>
      <c r="C2" s="10" t="n">
        <v>51193</v>
      </c>
      <c r="D2" s="10" t="n">
        <v>12503</v>
      </c>
      <c r="E2" s="10" t="n">
        <v>359</v>
      </c>
      <c r="F2" s="10" t="n">
        <v>98</v>
      </c>
      <c r="G2" s="10" t="n">
        <v>1025</v>
      </c>
      <c r="H2" s="10" t="n">
        <v>11739</v>
      </c>
      <c r="I2" s="11" t="n">
        <v>25</v>
      </c>
      <c r="J2" s="10" t="n">
        <v>8818</v>
      </c>
      <c r="K2" s="10" t="n">
        <v>235</v>
      </c>
      <c r="L2" s="10" t="n">
        <v>48525</v>
      </c>
      <c r="M2" s="10" t="n">
        <v>971</v>
      </c>
      <c r="N2" s="10" t="n">
        <v>69737</v>
      </c>
      <c r="O2" s="10" t="n">
        <v>3618</v>
      </c>
      <c r="P2" s="10" t="n">
        <v>3890</v>
      </c>
      <c r="Q2" s="10" t="n">
        <v>1932</v>
      </c>
      <c r="R2" s="10" t="n">
        <v>20006</v>
      </c>
      <c r="S2" s="10" t="n">
        <v>8964</v>
      </c>
      <c r="T2" s="10" t="n">
        <v>8220</v>
      </c>
      <c r="U2" s="10" t="n">
        <v>943</v>
      </c>
      <c r="V2" s="12">
        <f>I2/100</f>
        <v/>
      </c>
      <c r="W2" s="13">
        <f>H2+F2</f>
        <v/>
      </c>
      <c r="X2" s="13">
        <f>W2+G2</f>
        <v/>
      </c>
      <c r="Y2" s="13">
        <f>K2+L2</f>
        <v/>
      </c>
      <c r="Z2" s="13">
        <f>O2+P2+Q2</f>
        <v/>
      </c>
      <c r="AA2" s="13">
        <f>R2</f>
        <v/>
      </c>
      <c r="AB2" s="13">
        <f>S2-T2</f>
        <v/>
      </c>
      <c r="AC2" s="13">
        <f>M2-U2</f>
        <v/>
      </c>
      <c r="AD2" s="14">
        <f>K2/INDEX('Market Data'!$D$2:$D$9,MATCH(A2,'Market Data'!$A$2:$A$9,0))</f>
        <v/>
      </c>
    </row>
    <row r="3">
      <c r="A3" t="inlineStr">
        <is>
          <t>HUL</t>
        </is>
      </c>
      <c r="B3" t="inlineStr">
        <is>
          <t>FY2023</t>
        </is>
      </c>
      <c r="C3" s="10" t="n">
        <v>59144</v>
      </c>
      <c r="D3" s="10" t="n">
        <v>13632</v>
      </c>
      <c r="E3" s="10" t="n">
        <v>578</v>
      </c>
      <c r="F3" s="10" t="n">
        <v>101</v>
      </c>
      <c r="G3" s="10" t="n">
        <v>1030</v>
      </c>
      <c r="H3" s="10" t="n">
        <v>13079</v>
      </c>
      <c r="I3" s="11" t="n">
        <v>24</v>
      </c>
      <c r="J3" s="10" t="n">
        <v>9962</v>
      </c>
      <c r="K3" s="10" t="n">
        <v>235</v>
      </c>
      <c r="L3" s="10" t="n">
        <v>49986</v>
      </c>
      <c r="M3" s="10" t="n">
        <v>1039</v>
      </c>
      <c r="N3" s="10" t="n">
        <v>71825</v>
      </c>
      <c r="O3" s="10" t="n">
        <v>4422</v>
      </c>
      <c r="P3" s="10" t="n">
        <v>4031</v>
      </c>
      <c r="Q3" s="10" t="n">
        <v>2735</v>
      </c>
      <c r="R3" s="10" t="n">
        <v>20565</v>
      </c>
      <c r="S3" s="10" t="n">
        <v>9626</v>
      </c>
      <c r="T3" s="10" t="n">
        <v>8765</v>
      </c>
      <c r="U3" s="10" t="n">
        <v>971</v>
      </c>
      <c r="V3" s="12">
        <f>I3/100</f>
        <v/>
      </c>
      <c r="W3" s="13">
        <f>H3+F3</f>
        <v/>
      </c>
      <c r="X3" s="13">
        <f>W3+G3</f>
        <v/>
      </c>
      <c r="Y3" s="13">
        <f>K3+L3</f>
        <v/>
      </c>
      <c r="Z3" s="13">
        <f>O3+P3+Q3</f>
        <v/>
      </c>
      <c r="AA3" s="13">
        <f>R3</f>
        <v/>
      </c>
      <c r="AB3" s="13">
        <f>S3-T3</f>
        <v/>
      </c>
      <c r="AC3" s="13">
        <f>M3-U3</f>
        <v/>
      </c>
      <c r="AD3" s="14">
        <f>K3/INDEX('Market Data'!$D$2:$D$9,MATCH(A3,'Market Data'!$A$2:$A$9,0))</f>
        <v/>
      </c>
    </row>
    <row r="4">
      <c r="A4" t="inlineStr">
        <is>
          <t>HUL</t>
        </is>
      </c>
      <c r="B4" t="inlineStr">
        <is>
          <t>FY2024</t>
        </is>
      </c>
      <c r="C4" s="10" t="n">
        <v>60469</v>
      </c>
      <c r="D4" s="10" t="n">
        <v>14190</v>
      </c>
      <c r="E4" s="10" t="n">
        <v>884</v>
      </c>
      <c r="F4" s="10" t="n">
        <v>302</v>
      </c>
      <c r="G4" s="10" t="n">
        <v>1097</v>
      </c>
      <c r="H4" s="10" t="n">
        <v>13675</v>
      </c>
      <c r="I4" s="11" t="n">
        <v>26</v>
      </c>
      <c r="J4" s="10" t="n">
        <v>10114</v>
      </c>
      <c r="K4" s="10" t="n">
        <v>235</v>
      </c>
      <c r="L4" s="10" t="n">
        <v>50738</v>
      </c>
      <c r="M4" s="10" t="n">
        <v>1374</v>
      </c>
      <c r="N4" s="10" t="n">
        <v>77076</v>
      </c>
      <c r="O4" s="10" t="n">
        <v>7216</v>
      </c>
      <c r="P4" s="10" t="n">
        <v>3812</v>
      </c>
      <c r="Q4" s="10" t="n">
        <v>2690</v>
      </c>
      <c r="R4" s="10" t="n">
        <v>24729</v>
      </c>
      <c r="S4" s="10" t="n">
        <v>14884</v>
      </c>
      <c r="T4" s="10" t="n">
        <v>13586</v>
      </c>
      <c r="U4" s="10" t="n">
        <v>1039</v>
      </c>
      <c r="V4" s="12">
        <f>I4/100</f>
        <v/>
      </c>
      <c r="W4" s="13">
        <f>H4+F4</f>
        <v/>
      </c>
      <c r="X4" s="13">
        <f>W4+G4</f>
        <v/>
      </c>
      <c r="Y4" s="13">
        <f>K4+L4</f>
        <v/>
      </c>
      <c r="Z4" s="13">
        <f>O4+P4+Q4</f>
        <v/>
      </c>
      <c r="AA4" s="13">
        <f>R4</f>
        <v/>
      </c>
      <c r="AB4" s="13">
        <f>S4-T4</f>
        <v/>
      </c>
      <c r="AC4" s="13">
        <f>M4-U4</f>
        <v/>
      </c>
      <c r="AD4" s="14">
        <f>K4/INDEX('Market Data'!$D$2:$D$9,MATCH(A4,'Market Data'!$A$2:$A$9,0))</f>
        <v/>
      </c>
    </row>
    <row r="5">
      <c r="A5" t="inlineStr">
        <is>
          <t>HUL</t>
        </is>
      </c>
      <c r="B5" t="inlineStr">
        <is>
          <t>FY2025</t>
        </is>
      </c>
      <c r="C5" s="10" t="n">
        <v>59676</v>
      </c>
      <c r="D5" s="10" t="n">
        <v>14144</v>
      </c>
      <c r="E5" s="10" t="n">
        <v>1632</v>
      </c>
      <c r="F5" s="10" t="n">
        <v>350</v>
      </c>
      <c r="G5" s="10" t="n">
        <v>1122</v>
      </c>
      <c r="H5" s="10" t="n">
        <v>14304</v>
      </c>
      <c r="I5" s="11" t="n">
        <v>26</v>
      </c>
      <c r="J5" s="10" t="n">
        <v>10644</v>
      </c>
      <c r="K5" s="10" t="n">
        <v>235</v>
      </c>
      <c r="L5" s="10" t="n">
        <v>48918</v>
      </c>
      <c r="M5" s="10" t="n">
        <v>1537</v>
      </c>
      <c r="N5" s="10" t="n">
        <v>78313</v>
      </c>
      <c r="O5" s="10" t="n">
        <v>7293</v>
      </c>
      <c r="P5" s="10" t="n">
        <v>4161</v>
      </c>
      <c r="Q5" s="10" t="n">
        <v>3450</v>
      </c>
      <c r="R5" s="10" t="n">
        <v>27623</v>
      </c>
      <c r="S5" s="10" t="n">
        <v>11606</v>
      </c>
      <c r="T5" s="10" t="n">
        <v>10470</v>
      </c>
      <c r="U5" s="10" t="n">
        <v>1374</v>
      </c>
      <c r="V5" s="12">
        <f>I5/100</f>
        <v/>
      </c>
      <c r="W5" s="13">
        <f>H5+F5</f>
        <v/>
      </c>
      <c r="X5" s="13">
        <f>W5+G5</f>
        <v/>
      </c>
      <c r="Y5" s="13">
        <f>K5+L5</f>
        <v/>
      </c>
      <c r="Z5" s="13">
        <f>O5+P5+Q5</f>
        <v/>
      </c>
      <c r="AA5" s="13">
        <f>R5</f>
        <v/>
      </c>
      <c r="AB5" s="13">
        <f>S5-T5</f>
        <v/>
      </c>
      <c r="AC5" s="13">
        <f>M5-U5</f>
        <v/>
      </c>
      <c r="AD5" s="14">
        <f>K5/INDEX('Market Data'!$D$2:$D$9,MATCH(A5,'Market Data'!$A$2:$A$9,0))</f>
        <v/>
      </c>
    </row>
    <row r="6">
      <c r="A6" t="inlineStr">
        <is>
          <t>HUL</t>
        </is>
      </c>
      <c r="B6" t="inlineStr">
        <is>
          <t>FY2026</t>
        </is>
      </c>
      <c r="C6" s="10" t="n">
        <v>61975</v>
      </c>
      <c r="D6" s="10" t="n">
        <v>14464</v>
      </c>
      <c r="E6" s="10" t="n">
        <v>5572</v>
      </c>
      <c r="F6" s="10" t="n">
        <v>363</v>
      </c>
      <c r="G6" s="10" t="n">
        <v>1186</v>
      </c>
      <c r="H6" s="10" t="n">
        <v>18487</v>
      </c>
      <c r="I6" s="11" t="n">
        <v>17</v>
      </c>
      <c r="J6" s="10" t="n">
        <v>15427</v>
      </c>
      <c r="K6" s="10" t="n">
        <v>235</v>
      </c>
      <c r="L6" s="10" t="n">
        <v>48988</v>
      </c>
      <c r="M6" s="10" t="n">
        <v>1325</v>
      </c>
      <c r="N6" s="10" t="n">
        <v>77982</v>
      </c>
      <c r="O6" s="10" t="n">
        <v>2830</v>
      </c>
      <c r="P6" s="10" t="n">
        <v>4383</v>
      </c>
      <c r="Q6" s="10" t="n">
        <v>3037</v>
      </c>
      <c r="R6" s="10" t="n">
        <v>27434</v>
      </c>
      <c r="S6" s="10" t="n">
        <v>10496</v>
      </c>
      <c r="T6" s="10" t="n">
        <v>9251</v>
      </c>
      <c r="U6" s="10" t="n">
        <v>1537</v>
      </c>
      <c r="V6" s="12">
        <f>I6/100</f>
        <v/>
      </c>
      <c r="W6" s="13">
        <f>H6+F6</f>
        <v/>
      </c>
      <c r="X6" s="13">
        <f>W6+G6</f>
        <v/>
      </c>
      <c r="Y6" s="13">
        <f>K6+L6</f>
        <v/>
      </c>
      <c r="Z6" s="13">
        <f>O6+P6+Q6</f>
        <v/>
      </c>
      <c r="AA6" s="13">
        <f>R6</f>
        <v/>
      </c>
      <c r="AB6" s="13">
        <f>S6-T6</f>
        <v/>
      </c>
      <c r="AC6" s="13">
        <f>M6-U6</f>
        <v/>
      </c>
      <c r="AD6" s="14">
        <f>K6/INDEX('Market Data'!$D$2:$D$9,MATCH(A6,'Market Data'!$A$2:$A$9,0))</f>
        <v/>
      </c>
    </row>
    <row r="7">
      <c r="A7" t="inlineStr">
        <is>
          <t>ITC</t>
        </is>
      </c>
      <c r="B7" t="inlineStr">
        <is>
          <t>FY2022</t>
        </is>
      </c>
      <c r="C7" s="10" t="n">
        <v>56341</v>
      </c>
      <c r="D7" s="10" t="n">
        <v>18893</v>
      </c>
      <c r="E7" s="10" t="n">
        <v>2649</v>
      </c>
      <c r="F7" s="10" t="n">
        <v>61</v>
      </c>
      <c r="G7" s="10" t="n">
        <v>1652</v>
      </c>
      <c r="H7" s="10" t="n">
        <v>19830</v>
      </c>
      <c r="I7" s="11" t="n">
        <v>24</v>
      </c>
      <c r="J7" s="10" t="n">
        <v>15058</v>
      </c>
      <c r="K7" s="10" t="n">
        <v>1232</v>
      </c>
      <c r="L7" s="10" t="n">
        <v>60167</v>
      </c>
      <c r="M7" s="10" t="n">
        <v>311</v>
      </c>
      <c r="N7" s="10" t="n">
        <v>75092</v>
      </c>
      <c r="O7" s="10" t="n">
        <v>3878</v>
      </c>
      <c r="P7" s="10" t="n">
        <v>9998</v>
      </c>
      <c r="Q7" s="10" t="n">
        <v>1952</v>
      </c>
      <c r="R7" s="10" t="n">
        <v>13382</v>
      </c>
      <c r="S7" s="10" t="n">
        <v>14808</v>
      </c>
      <c r="T7" s="10" t="n">
        <v>13133</v>
      </c>
      <c r="U7" s="10" t="n">
        <v>329</v>
      </c>
      <c r="V7" s="12">
        <f>I7/100</f>
        <v/>
      </c>
      <c r="W7" s="13">
        <f>H7+F7</f>
        <v/>
      </c>
      <c r="X7" s="13">
        <f>W7+G7</f>
        <v/>
      </c>
      <c r="Y7" s="13">
        <f>K7+L7</f>
        <v/>
      </c>
      <c r="Z7" s="13">
        <f>O7+P7+Q7</f>
        <v/>
      </c>
      <c r="AA7" s="13">
        <f>R7</f>
        <v/>
      </c>
      <c r="AB7" s="13">
        <f>S7-T7</f>
        <v/>
      </c>
      <c r="AC7" s="13">
        <f>M7-U7</f>
        <v/>
      </c>
      <c r="AD7" s="14">
        <f>K7/INDEX('Market Data'!$D$2:$D$9,MATCH(A7,'Market Data'!$A$2:$A$9,0))</f>
        <v/>
      </c>
    </row>
    <row r="8">
      <c r="A8" t="inlineStr">
        <is>
          <t>ITC</t>
        </is>
      </c>
      <c r="B8" t="inlineStr">
        <is>
          <t>FY2023</t>
        </is>
      </c>
      <c r="C8" s="10" t="n">
        <v>66043</v>
      </c>
      <c r="D8" s="10" t="n">
        <v>23981</v>
      </c>
      <c r="E8" s="10" t="n">
        <v>2506</v>
      </c>
      <c r="F8" s="10" t="n">
        <v>74</v>
      </c>
      <c r="G8" s="10" t="n">
        <v>1663</v>
      </c>
      <c r="H8" s="10" t="n">
        <v>24750</v>
      </c>
      <c r="I8" s="11" t="n">
        <v>24</v>
      </c>
      <c r="J8" s="10" t="n">
        <v>18753</v>
      </c>
      <c r="K8" s="10" t="n">
        <v>1243</v>
      </c>
      <c r="L8" s="10" t="n">
        <v>66351</v>
      </c>
      <c r="M8" s="10" t="n">
        <v>325</v>
      </c>
      <c r="N8" s="10" t="n">
        <v>82262</v>
      </c>
      <c r="O8" s="10" t="n">
        <v>3831</v>
      </c>
      <c r="P8" s="10" t="n">
        <v>10594</v>
      </c>
      <c r="Q8" s="10" t="n">
        <v>2321</v>
      </c>
      <c r="R8" s="10" t="n">
        <v>14343</v>
      </c>
      <c r="S8" s="10" t="n">
        <v>17912</v>
      </c>
      <c r="T8" s="10" t="n">
        <v>16102</v>
      </c>
      <c r="U8" s="10" t="n">
        <v>311</v>
      </c>
      <c r="V8" s="12">
        <f>I8/100</f>
        <v/>
      </c>
      <c r="W8" s="13">
        <f>H8+F8</f>
        <v/>
      </c>
      <c r="X8" s="13">
        <f>W8+G8</f>
        <v/>
      </c>
      <c r="Y8" s="13">
        <f>K8+L8</f>
        <v/>
      </c>
      <c r="Z8" s="13">
        <f>O8+P8+Q8</f>
        <v/>
      </c>
      <c r="AA8" s="13">
        <f>R8</f>
        <v/>
      </c>
      <c r="AB8" s="13">
        <f>S8-T8</f>
        <v/>
      </c>
      <c r="AC8" s="13">
        <f>M8-U8</f>
        <v/>
      </c>
      <c r="AD8" s="14">
        <f>K8/INDEX('Market Data'!$D$2:$D$9,MATCH(A8,'Market Data'!$A$2:$A$9,0))</f>
        <v/>
      </c>
    </row>
    <row r="9">
      <c r="A9" t="inlineStr">
        <is>
          <t>ITC</t>
        </is>
      </c>
      <c r="B9" t="inlineStr">
        <is>
          <t>FY2024</t>
        </is>
      </c>
      <c r="C9" s="10" t="n">
        <v>62628</v>
      </c>
      <c r="D9" s="10" t="n">
        <v>23435</v>
      </c>
      <c r="E9" s="10" t="n">
        <v>4100</v>
      </c>
      <c r="F9" s="10" t="n">
        <v>34</v>
      </c>
      <c r="G9" s="10" t="n">
        <v>1357</v>
      </c>
      <c r="H9" s="10" t="n">
        <v>26144</v>
      </c>
      <c r="I9" s="11" t="n">
        <v>22</v>
      </c>
      <c r="J9" s="10" t="n">
        <v>20422</v>
      </c>
      <c r="K9" s="10" t="n">
        <v>1248</v>
      </c>
      <c r="L9" s="10" t="n">
        <v>70985</v>
      </c>
      <c r="M9" s="10" t="n">
        <v>312</v>
      </c>
      <c r="N9" s="10" t="n">
        <v>87328</v>
      </c>
      <c r="O9" s="10" t="n">
        <v>6218</v>
      </c>
      <c r="P9" s="10" t="n">
        <v>12632</v>
      </c>
      <c r="Q9" s="10" t="n">
        <v>3311</v>
      </c>
      <c r="R9" s="10" t="n">
        <v>14782</v>
      </c>
      <c r="S9" s="10" t="n">
        <v>16118</v>
      </c>
      <c r="T9" s="10" t="n">
        <v>13572</v>
      </c>
      <c r="U9" s="10" t="n">
        <v>325</v>
      </c>
      <c r="V9" s="12">
        <f>I9/100</f>
        <v/>
      </c>
      <c r="W9" s="13">
        <f>H9+F9</f>
        <v/>
      </c>
      <c r="X9" s="13">
        <f>W9+G9</f>
        <v/>
      </c>
      <c r="Y9" s="13">
        <f>K9+L9</f>
        <v/>
      </c>
      <c r="Z9" s="13">
        <f>O9+P9+Q9</f>
        <v/>
      </c>
      <c r="AA9" s="13">
        <f>R9</f>
        <v/>
      </c>
      <c r="AB9" s="13">
        <f>S9-T9</f>
        <v/>
      </c>
      <c r="AC9" s="13">
        <f>M9-U9</f>
        <v/>
      </c>
      <c r="AD9" s="14">
        <f>K9/INDEX('Market Data'!$D$2:$D$9,MATCH(A9,'Market Data'!$A$2:$A$9,0))</f>
        <v/>
      </c>
    </row>
    <row r="10">
      <c r="A10" t="inlineStr">
        <is>
          <t>ITC</t>
        </is>
      </c>
      <c r="B10" t="inlineStr">
        <is>
          <t>FY2025</t>
        </is>
      </c>
      <c r="C10" s="10" t="n">
        <v>69326</v>
      </c>
      <c r="D10" s="10" t="n">
        <v>23906</v>
      </c>
      <c r="E10" s="10" t="n">
        <v>19206</v>
      </c>
      <c r="F10" s="10" t="n">
        <v>36</v>
      </c>
      <c r="G10" s="10" t="n">
        <v>1442</v>
      </c>
      <c r="H10" s="10" t="n">
        <v>41634</v>
      </c>
      <c r="I10" s="11" t="n">
        <v>15</v>
      </c>
      <c r="J10" s="10" t="n">
        <v>35197</v>
      </c>
      <c r="K10" s="10" t="n">
        <v>1251</v>
      </c>
      <c r="L10" s="10" t="n">
        <v>66642</v>
      </c>
      <c r="M10" s="10" t="n">
        <v>157</v>
      </c>
      <c r="N10" s="10" t="n">
        <v>84005</v>
      </c>
      <c r="O10" s="10" t="n">
        <v>3185</v>
      </c>
      <c r="P10" s="10" t="n">
        <v>15061</v>
      </c>
      <c r="Q10" s="10" t="n">
        <v>3911</v>
      </c>
      <c r="R10" s="10" t="n">
        <v>15954</v>
      </c>
      <c r="S10" s="10" t="n">
        <v>16754</v>
      </c>
      <c r="T10" s="10" t="n">
        <v>15123</v>
      </c>
      <c r="U10" s="10" t="n">
        <v>312</v>
      </c>
      <c r="V10" s="12">
        <f>I10/100</f>
        <v/>
      </c>
      <c r="W10" s="13">
        <f>H10+F10</f>
        <v/>
      </c>
      <c r="X10" s="13">
        <f>W10+G10</f>
        <v/>
      </c>
      <c r="Y10" s="13">
        <f>K10+L10</f>
        <v/>
      </c>
      <c r="Z10" s="13">
        <f>O10+P10+Q10</f>
        <v/>
      </c>
      <c r="AA10" s="13">
        <f>R10</f>
        <v/>
      </c>
      <c r="AB10" s="13">
        <f>S10-T10</f>
        <v/>
      </c>
      <c r="AC10" s="13">
        <f>M10-U10</f>
        <v/>
      </c>
      <c r="AD10" s="14">
        <f>K10/INDEX('Market Data'!$D$2:$D$9,MATCH(A10,'Market Data'!$A$2:$A$9,0))</f>
        <v/>
      </c>
    </row>
    <row r="11">
      <c r="A11" t="inlineStr">
        <is>
          <t>ITC</t>
        </is>
      </c>
      <c r="B11" t="inlineStr">
        <is>
          <t>FY2026</t>
        </is>
      </c>
      <c r="C11" s="10" t="n">
        <v>71984</v>
      </c>
      <c r="D11" s="10" t="n">
        <v>25196</v>
      </c>
      <c r="E11" s="10" t="n">
        <v>3115</v>
      </c>
      <c r="F11" s="10" t="n">
        <v>70</v>
      </c>
      <c r="G11" s="10" t="n">
        <v>1474</v>
      </c>
      <c r="H11" s="10" t="n">
        <v>26768</v>
      </c>
      <c r="I11" s="11" t="n">
        <v>24</v>
      </c>
      <c r="J11" s="10" t="n">
        <v>20286</v>
      </c>
      <c r="K11" s="10" t="n">
        <v>1253</v>
      </c>
      <c r="L11" s="10" t="n">
        <v>68676</v>
      </c>
      <c r="M11" s="10" t="n">
        <v>2162</v>
      </c>
      <c r="N11" s="10" t="n">
        <v>88916</v>
      </c>
      <c r="O11" s="10" t="n">
        <v>2136</v>
      </c>
      <c r="P11" s="10" t="n">
        <v>17932</v>
      </c>
      <c r="Q11" s="10" t="n">
        <v>2926</v>
      </c>
      <c r="R11" s="10" t="n">
        <v>16825</v>
      </c>
      <c r="S11" s="10" t="n">
        <v>17095</v>
      </c>
      <c r="T11" s="10" t="n">
        <v>15075</v>
      </c>
      <c r="U11" s="10" t="n">
        <v>157</v>
      </c>
      <c r="V11" s="12">
        <f>I11/100</f>
        <v/>
      </c>
      <c r="W11" s="13">
        <f>H11+F11</f>
        <v/>
      </c>
      <c r="X11" s="13">
        <f>W11+G11</f>
        <v/>
      </c>
      <c r="Y11" s="13">
        <f>K11+L11</f>
        <v/>
      </c>
      <c r="Z11" s="13">
        <f>O11+P11+Q11</f>
        <v/>
      </c>
      <c r="AA11" s="13">
        <f>R11</f>
        <v/>
      </c>
      <c r="AB11" s="13">
        <f>S11-T11</f>
        <v/>
      </c>
      <c r="AC11" s="13">
        <f>M11-U11</f>
        <v/>
      </c>
      <c r="AD11" s="14">
        <f>K11/INDEX('Market Data'!$D$2:$D$9,MATCH(A11,'Market Data'!$A$2:$A$9,0))</f>
        <v/>
      </c>
    </row>
    <row r="12">
      <c r="A12" t="inlineStr">
        <is>
          <t>Dabur</t>
        </is>
      </c>
      <c r="B12" t="inlineStr">
        <is>
          <t>FY2022</t>
        </is>
      </c>
      <c r="C12" s="10" t="n">
        <v>8180</v>
      </c>
      <c r="D12" s="10" t="n">
        <v>1734</v>
      </c>
      <c r="E12" s="10" t="n">
        <v>341</v>
      </c>
      <c r="F12" s="10" t="n">
        <v>19</v>
      </c>
      <c r="G12" s="10" t="n">
        <v>160</v>
      </c>
      <c r="H12" s="10" t="n">
        <v>1896</v>
      </c>
      <c r="I12" s="11" t="n">
        <v>24</v>
      </c>
      <c r="J12" s="10" t="n">
        <v>1433</v>
      </c>
      <c r="K12" s="10" t="n">
        <v>177</v>
      </c>
      <c r="L12" s="10" t="n">
        <v>5687</v>
      </c>
      <c r="M12" s="10" t="n">
        <v>560</v>
      </c>
      <c r="N12" s="10" t="n">
        <v>8592</v>
      </c>
      <c r="O12" s="10" t="n">
        <v>136</v>
      </c>
      <c r="P12" s="10" t="n">
        <v>1238</v>
      </c>
      <c r="Q12" s="10" t="n">
        <v>455</v>
      </c>
      <c r="R12" s="10" t="n">
        <v>2168</v>
      </c>
      <c r="S12" s="10" t="n">
        <v>1320</v>
      </c>
      <c r="T12" s="10" t="n">
        <v>1025</v>
      </c>
      <c r="U12" s="10" t="n">
        <v>180</v>
      </c>
      <c r="V12" s="12">
        <f>I12/100</f>
        <v/>
      </c>
      <c r="W12" s="13">
        <f>H12+F12</f>
        <v/>
      </c>
      <c r="X12" s="13">
        <f>W12+G12</f>
        <v/>
      </c>
      <c r="Y12" s="13">
        <f>K12+L12</f>
        <v/>
      </c>
      <c r="Z12" s="13">
        <f>O12+P12+Q12</f>
        <v/>
      </c>
      <c r="AA12" s="13">
        <f>R12</f>
        <v/>
      </c>
      <c r="AB12" s="13">
        <f>S12-T12</f>
        <v/>
      </c>
      <c r="AC12" s="13">
        <f>M12-U12</f>
        <v/>
      </c>
      <c r="AD12" s="14">
        <f>K12/INDEX('Market Data'!$D$2:$D$9,MATCH(A12,'Market Data'!$A$2:$A$9,0))</f>
        <v/>
      </c>
    </row>
    <row r="13">
      <c r="A13" t="inlineStr">
        <is>
          <t>Dabur</t>
        </is>
      </c>
      <c r="B13" t="inlineStr">
        <is>
          <t>FY2023</t>
        </is>
      </c>
      <c r="C13" s="10" t="n">
        <v>8684</v>
      </c>
      <c r="D13" s="10" t="n">
        <v>1701</v>
      </c>
      <c r="E13" s="10" t="n">
        <v>363</v>
      </c>
      <c r="F13" s="10" t="n">
        <v>46</v>
      </c>
      <c r="G13" s="10" t="n">
        <v>188</v>
      </c>
      <c r="H13" s="10" t="n">
        <v>1829</v>
      </c>
      <c r="I13" s="11" t="n">
        <v>25</v>
      </c>
      <c r="J13" s="10" t="n">
        <v>1373</v>
      </c>
      <c r="K13" s="10" t="n">
        <v>177</v>
      </c>
      <c r="L13" s="10" t="n">
        <v>6110</v>
      </c>
      <c r="M13" s="10" t="n">
        <v>615</v>
      </c>
      <c r="N13" s="10" t="n">
        <v>9352</v>
      </c>
      <c r="O13" s="10" t="n">
        <v>33</v>
      </c>
      <c r="P13" s="10" t="n">
        <v>1224</v>
      </c>
      <c r="Q13" s="10" t="n">
        <v>561</v>
      </c>
      <c r="R13" s="10" t="n">
        <v>2450</v>
      </c>
      <c r="S13" s="10" t="n">
        <v>1562</v>
      </c>
      <c r="T13" s="10" t="n">
        <v>1173</v>
      </c>
      <c r="U13" s="10" t="n">
        <v>560</v>
      </c>
      <c r="V13" s="12">
        <f>I13/100</f>
        <v/>
      </c>
      <c r="W13" s="13">
        <f>H13+F13</f>
        <v/>
      </c>
      <c r="X13" s="13">
        <f>W13+G13</f>
        <v/>
      </c>
      <c r="Y13" s="13">
        <f>K13+L13</f>
        <v/>
      </c>
      <c r="Z13" s="13">
        <f>O13+P13+Q13</f>
        <v/>
      </c>
      <c r="AA13" s="13">
        <f>R13</f>
        <v/>
      </c>
      <c r="AB13" s="13">
        <f>S13-T13</f>
        <v/>
      </c>
      <c r="AC13" s="13">
        <f>M13-U13</f>
        <v/>
      </c>
      <c r="AD13" s="14">
        <f>K13/INDEX('Market Data'!$D$2:$D$9,MATCH(A13,'Market Data'!$A$2:$A$9,0))</f>
        <v/>
      </c>
    </row>
    <row r="14">
      <c r="A14" t="inlineStr">
        <is>
          <t>Dabur</t>
        </is>
      </c>
      <c r="B14" t="inlineStr">
        <is>
          <t>FY2024</t>
        </is>
      </c>
      <c r="C14" s="10" t="n">
        <v>9136</v>
      </c>
      <c r="D14" s="10" t="n">
        <v>1840</v>
      </c>
      <c r="E14" s="10" t="n">
        <v>416</v>
      </c>
      <c r="F14" s="10" t="n">
        <v>81</v>
      </c>
      <c r="G14" s="10" t="n">
        <v>209</v>
      </c>
      <c r="H14" s="10" t="n">
        <v>1967</v>
      </c>
      <c r="I14" s="11" t="n">
        <v>23</v>
      </c>
      <c r="J14" s="10" t="n">
        <v>1509</v>
      </c>
      <c r="K14" s="10" t="n">
        <v>177</v>
      </c>
      <c r="L14" s="10" t="n">
        <v>6738</v>
      </c>
      <c r="M14" s="10" t="n">
        <v>776</v>
      </c>
      <c r="N14" s="10" t="n">
        <v>10533</v>
      </c>
      <c r="O14" s="10" t="n">
        <v>71</v>
      </c>
      <c r="P14" s="10" t="n">
        <v>1150</v>
      </c>
      <c r="Q14" s="10" t="n">
        <v>719</v>
      </c>
      <c r="R14" s="10" t="n">
        <v>2841</v>
      </c>
      <c r="S14" s="10" t="n">
        <v>1653</v>
      </c>
      <c r="T14" s="10" t="n">
        <v>1198</v>
      </c>
      <c r="U14" s="10" t="n">
        <v>615</v>
      </c>
      <c r="V14" s="12">
        <f>I14/100</f>
        <v/>
      </c>
      <c r="W14" s="13">
        <f>H14+F14</f>
        <v/>
      </c>
      <c r="X14" s="13">
        <f>W14+G14</f>
        <v/>
      </c>
      <c r="Y14" s="13">
        <f>K14+L14</f>
        <v/>
      </c>
      <c r="Z14" s="13">
        <f>O14+P14+Q14</f>
        <v/>
      </c>
      <c r="AA14" s="13">
        <f>R14</f>
        <v/>
      </c>
      <c r="AB14" s="13">
        <f>S14-T14</f>
        <v/>
      </c>
      <c r="AC14" s="13">
        <f>M14-U14</f>
        <v/>
      </c>
      <c r="AD14" s="14">
        <f>K14/INDEX('Market Data'!$D$2:$D$9,MATCH(A14,'Market Data'!$A$2:$A$9,0))</f>
        <v/>
      </c>
    </row>
    <row r="15">
      <c r="A15" t="inlineStr">
        <is>
          <t>Dabur</t>
        </is>
      </c>
      <c r="B15" t="inlineStr">
        <is>
          <t>FY2025</t>
        </is>
      </c>
      <c r="C15" s="10" t="n">
        <v>9071</v>
      </c>
      <c r="D15" s="10" t="n">
        <v>1708</v>
      </c>
      <c r="E15" s="10" t="n">
        <v>451</v>
      </c>
      <c r="F15" s="10" t="n">
        <v>100</v>
      </c>
      <c r="G15" s="10" t="n">
        <v>251</v>
      </c>
      <c r="H15" s="10" t="n">
        <v>1808</v>
      </c>
      <c r="I15" s="11" t="n">
        <v>22</v>
      </c>
      <c r="J15" s="10" t="n">
        <v>1403</v>
      </c>
      <c r="K15" s="10" t="n">
        <v>177</v>
      </c>
      <c r="L15" s="10" t="n">
        <v>7246</v>
      </c>
      <c r="M15" s="10" t="n">
        <v>379</v>
      </c>
      <c r="N15" s="10" t="n">
        <v>11005</v>
      </c>
      <c r="O15" s="10" t="n">
        <v>133</v>
      </c>
      <c r="P15" s="10" t="n">
        <v>1288</v>
      </c>
      <c r="Q15" s="10" t="n">
        <v>601</v>
      </c>
      <c r="R15" s="10" t="n">
        <v>3203</v>
      </c>
      <c r="S15" s="10" t="n">
        <v>1623</v>
      </c>
      <c r="T15" s="10" t="n">
        <v>1273</v>
      </c>
      <c r="U15" s="10" t="n">
        <v>776</v>
      </c>
      <c r="V15" s="12">
        <f>I15/100</f>
        <v/>
      </c>
      <c r="W15" s="13">
        <f>H15+F15</f>
        <v/>
      </c>
      <c r="X15" s="13">
        <f>W15+G15</f>
        <v/>
      </c>
      <c r="Y15" s="13">
        <f>K15+L15</f>
        <v/>
      </c>
      <c r="Z15" s="13">
        <f>O15+P15+Q15</f>
        <v/>
      </c>
      <c r="AA15" s="13">
        <f>R15</f>
        <v/>
      </c>
      <c r="AB15" s="13">
        <f>S15-T15</f>
        <v/>
      </c>
      <c r="AC15" s="13">
        <f>M15-U15</f>
        <v/>
      </c>
      <c r="AD15" s="14">
        <f>K15/INDEX('Market Data'!$D$2:$D$9,MATCH(A15,'Market Data'!$A$2:$A$9,0))</f>
        <v/>
      </c>
    </row>
    <row r="16">
      <c r="A16" t="inlineStr">
        <is>
          <t>Dabur</t>
        </is>
      </c>
      <c r="B16" t="inlineStr">
        <is>
          <t>FY2026</t>
        </is>
      </c>
      <c r="C16" s="10" t="n">
        <v>9383</v>
      </c>
      <c r="D16" s="10" t="n">
        <v>1781</v>
      </c>
      <c r="E16" s="10" t="n">
        <v>463</v>
      </c>
      <c r="F16" s="10" t="n">
        <v>82</v>
      </c>
      <c r="G16" s="10" t="n">
        <v>261</v>
      </c>
      <c r="H16" s="10" t="n">
        <v>1901</v>
      </c>
      <c r="I16" s="11" t="n">
        <v>22</v>
      </c>
      <c r="J16" s="10" t="n">
        <v>1491</v>
      </c>
      <c r="K16" s="10" t="n">
        <v>177</v>
      </c>
      <c r="L16" s="10" t="n">
        <v>7349</v>
      </c>
      <c r="M16" s="10" t="n">
        <v>611</v>
      </c>
      <c r="N16" s="10" t="n">
        <v>11773</v>
      </c>
      <c r="O16" s="10" t="n">
        <v>22</v>
      </c>
      <c r="P16" s="10" t="n">
        <v>1365</v>
      </c>
      <c r="Q16" s="10" t="n">
        <v>473</v>
      </c>
      <c r="R16" s="10" t="n">
        <v>3635</v>
      </c>
      <c r="S16" s="10" t="n">
        <v>1885</v>
      </c>
      <c r="T16" s="10" t="n">
        <v>1648</v>
      </c>
      <c r="U16" s="10" t="n">
        <v>379</v>
      </c>
      <c r="V16" s="12">
        <f>I16/100</f>
        <v/>
      </c>
      <c r="W16" s="13">
        <f>H16+F16</f>
        <v/>
      </c>
      <c r="X16" s="13">
        <f>W16+G16</f>
        <v/>
      </c>
      <c r="Y16" s="13">
        <f>K16+L16</f>
        <v/>
      </c>
      <c r="Z16" s="13">
        <f>O16+P16+Q16</f>
        <v/>
      </c>
      <c r="AA16" s="13">
        <f>R16</f>
        <v/>
      </c>
      <c r="AB16" s="13">
        <f>S16-T16</f>
        <v/>
      </c>
      <c r="AC16" s="13">
        <f>M16-U16</f>
        <v/>
      </c>
      <c r="AD16" s="14">
        <f>K16/INDEX('Market Data'!$D$2:$D$9,MATCH(A16,'Market Data'!$A$2:$A$9,0))</f>
        <v/>
      </c>
    </row>
    <row r="17">
      <c r="A17" t="inlineStr">
        <is>
          <t>Marico</t>
        </is>
      </c>
      <c r="B17" t="inlineStr">
        <is>
          <t>FY2022</t>
        </is>
      </c>
      <c r="C17" s="10" t="n">
        <v>7500</v>
      </c>
      <c r="D17" s="10" t="n">
        <v>1183</v>
      </c>
      <c r="E17" s="10" t="n">
        <v>357</v>
      </c>
      <c r="F17" s="10" t="n">
        <v>30</v>
      </c>
      <c r="G17" s="10" t="n">
        <v>97</v>
      </c>
      <c r="H17" s="10" t="n">
        <v>1413</v>
      </c>
      <c r="I17" s="11" t="n">
        <v>18</v>
      </c>
      <c r="J17" s="10" t="n">
        <v>1163</v>
      </c>
      <c r="K17" s="10" t="n">
        <v>129</v>
      </c>
      <c r="L17" s="10" t="n">
        <v>2920</v>
      </c>
      <c r="M17" s="10" t="n">
        <v>199</v>
      </c>
      <c r="N17" s="10" t="n">
        <v>4496</v>
      </c>
      <c r="O17" s="10" t="n">
        <v>295</v>
      </c>
      <c r="P17" s="10" t="n">
        <v>1093</v>
      </c>
      <c r="Q17" s="10" t="n">
        <v>555</v>
      </c>
      <c r="R17" s="10" t="n">
        <v>1248</v>
      </c>
      <c r="S17" s="10" t="n">
        <v>656</v>
      </c>
      <c r="T17" s="10" t="n">
        <v>560</v>
      </c>
      <c r="U17" s="10" t="n">
        <v>269</v>
      </c>
      <c r="V17" s="12">
        <f>I17/100</f>
        <v/>
      </c>
      <c r="W17" s="13">
        <f>H17+F17</f>
        <v/>
      </c>
      <c r="X17" s="13">
        <f>W17+G17</f>
        <v/>
      </c>
      <c r="Y17" s="13">
        <f>K17+L17</f>
        <v/>
      </c>
      <c r="Z17" s="13">
        <f>O17+P17+Q17</f>
        <v/>
      </c>
      <c r="AA17" s="13">
        <f>R17</f>
        <v/>
      </c>
      <c r="AB17" s="13">
        <f>S17-T17</f>
        <v/>
      </c>
      <c r="AC17" s="13">
        <f>M17-U17</f>
        <v/>
      </c>
      <c r="AD17" s="14">
        <f>K17/INDEX('Market Data'!$D$2:$D$9,MATCH(A17,'Market Data'!$A$2:$A$9,0))</f>
        <v/>
      </c>
    </row>
    <row r="18">
      <c r="A18" t="inlineStr">
        <is>
          <t>Marico</t>
        </is>
      </c>
      <c r="B18" t="inlineStr">
        <is>
          <t>FY2023</t>
        </is>
      </c>
      <c r="C18" s="10" t="n">
        <v>7478</v>
      </c>
      <c r="D18" s="10" t="n">
        <v>1309</v>
      </c>
      <c r="E18" s="10" t="n">
        <v>328</v>
      </c>
      <c r="F18" s="10" t="n">
        <v>36</v>
      </c>
      <c r="G18" s="10" t="n">
        <v>109</v>
      </c>
      <c r="H18" s="10" t="n">
        <v>1492</v>
      </c>
      <c r="I18" s="11" t="n">
        <v>21</v>
      </c>
      <c r="J18" s="10" t="n">
        <v>1179</v>
      </c>
      <c r="K18" s="10" t="n">
        <v>129</v>
      </c>
      <c r="L18" s="10" t="n">
        <v>3548</v>
      </c>
      <c r="M18" s="10" t="n">
        <v>166</v>
      </c>
      <c r="N18" s="10" t="n">
        <v>5089</v>
      </c>
      <c r="O18" s="10" t="n">
        <v>149</v>
      </c>
      <c r="P18" s="10" t="n">
        <v>895</v>
      </c>
      <c r="Q18" s="10" t="n">
        <v>838</v>
      </c>
      <c r="R18" s="10" t="n">
        <v>1246</v>
      </c>
      <c r="S18" s="10" t="n">
        <v>1002</v>
      </c>
      <c r="T18" s="10" t="n">
        <v>1002</v>
      </c>
      <c r="U18" s="10" t="n">
        <v>199</v>
      </c>
      <c r="V18" s="12">
        <f>I18/100</f>
        <v/>
      </c>
      <c r="W18" s="13">
        <f>H18+F18</f>
        <v/>
      </c>
      <c r="X18" s="13">
        <f>W18+G18</f>
        <v/>
      </c>
      <c r="Y18" s="13">
        <f>K18+L18</f>
        <v/>
      </c>
      <c r="Z18" s="13">
        <f>O18+P18+Q18</f>
        <v/>
      </c>
      <c r="AA18" s="13">
        <f>R18</f>
        <v/>
      </c>
      <c r="AB18" s="13">
        <f>S18-T18</f>
        <v/>
      </c>
      <c r="AC18" s="13">
        <f>M18-U18</f>
        <v/>
      </c>
      <c r="AD18" s="14">
        <f>K18/INDEX('Market Data'!$D$2:$D$9,MATCH(A18,'Market Data'!$A$2:$A$9,0))</f>
        <v/>
      </c>
    </row>
    <row r="19">
      <c r="A19" t="inlineStr">
        <is>
          <t>Marico</t>
        </is>
      </c>
      <c r="B19" t="inlineStr">
        <is>
          <t>FY2024</t>
        </is>
      </c>
      <c r="C19" s="10" t="n">
        <v>7002</v>
      </c>
      <c r="D19" s="10" t="n">
        <v>1406</v>
      </c>
      <c r="E19" s="10" t="n">
        <v>135</v>
      </c>
      <c r="F19" s="10" t="n">
        <v>32</v>
      </c>
      <c r="G19" s="10" t="n">
        <v>107</v>
      </c>
      <c r="H19" s="10" t="n">
        <v>1402</v>
      </c>
      <c r="I19" s="11" t="n">
        <v>23</v>
      </c>
      <c r="J19" s="10" t="n">
        <v>1078</v>
      </c>
      <c r="K19" s="10" t="n">
        <v>129</v>
      </c>
      <c r="L19" s="10" t="n">
        <v>3468</v>
      </c>
      <c r="M19" s="10" t="n">
        <v>230</v>
      </c>
      <c r="N19" s="10" t="n">
        <v>4965</v>
      </c>
      <c r="O19" s="10" t="n">
        <v>36</v>
      </c>
      <c r="P19" s="10" t="n">
        <v>936</v>
      </c>
      <c r="Q19" s="10" t="n">
        <v>870</v>
      </c>
      <c r="R19" s="10" t="n">
        <v>1138</v>
      </c>
      <c r="S19" s="10" t="n">
        <v>1044</v>
      </c>
      <c r="T19" s="10" t="n">
        <v>954</v>
      </c>
      <c r="U19" s="10" t="n">
        <v>166</v>
      </c>
      <c r="V19" s="12">
        <f>I19/100</f>
        <v/>
      </c>
      <c r="W19" s="13">
        <f>H19+F19</f>
        <v/>
      </c>
      <c r="X19" s="13">
        <f>W19+G19</f>
        <v/>
      </c>
      <c r="Y19" s="13">
        <f>K19+L19</f>
        <v/>
      </c>
      <c r="Z19" s="13">
        <f>O19+P19+Q19</f>
        <v/>
      </c>
      <c r="AA19" s="13">
        <f>R19</f>
        <v/>
      </c>
      <c r="AB19" s="13">
        <f>S19-T19</f>
        <v/>
      </c>
      <c r="AC19" s="13">
        <f>M19-U19</f>
        <v/>
      </c>
      <c r="AD19" s="14">
        <f>K19/INDEX('Market Data'!$D$2:$D$9,MATCH(A19,'Market Data'!$A$2:$A$9,0))</f>
        <v/>
      </c>
    </row>
    <row r="20">
      <c r="A20" t="inlineStr">
        <is>
          <t>Marico</t>
        </is>
      </c>
      <c r="B20" t="inlineStr">
        <is>
          <t>FY2025</t>
        </is>
      </c>
      <c r="C20" s="10" t="n">
        <v>7581</v>
      </c>
      <c r="D20" s="10" t="n">
        <v>1449</v>
      </c>
      <c r="E20" s="10" t="n">
        <v>591</v>
      </c>
      <c r="F20" s="10" t="n">
        <v>23</v>
      </c>
      <c r="G20" s="10" t="n">
        <v>123</v>
      </c>
      <c r="H20" s="10" t="n">
        <v>1894</v>
      </c>
      <c r="I20" s="11" t="n">
        <v>19</v>
      </c>
      <c r="J20" s="10" t="n">
        <v>1541</v>
      </c>
      <c r="K20" s="10" t="n">
        <v>129</v>
      </c>
      <c r="L20" s="10" t="n">
        <v>4634</v>
      </c>
      <c r="M20" s="10" t="n">
        <v>271</v>
      </c>
      <c r="N20" s="10" t="n">
        <v>6038</v>
      </c>
      <c r="O20" s="10" t="n">
        <v>127</v>
      </c>
      <c r="P20" s="10" t="n">
        <v>804</v>
      </c>
      <c r="Q20" s="10" t="n">
        <v>935</v>
      </c>
      <c r="R20" s="10" t="n">
        <v>1004</v>
      </c>
      <c r="S20" s="10" t="n">
        <v>1148</v>
      </c>
      <c r="T20" s="10" t="n">
        <v>1066</v>
      </c>
      <c r="U20" s="10" t="n">
        <v>230</v>
      </c>
      <c r="V20" s="12">
        <f>I20/100</f>
        <v/>
      </c>
      <c r="W20" s="13">
        <f>H20+F20</f>
        <v/>
      </c>
      <c r="X20" s="13">
        <f>W20+G20</f>
        <v/>
      </c>
      <c r="Y20" s="13">
        <f>K20+L20</f>
        <v/>
      </c>
      <c r="Z20" s="13">
        <f>O20+P20+Q20</f>
        <v/>
      </c>
      <c r="AA20" s="13">
        <f>R20</f>
        <v/>
      </c>
      <c r="AB20" s="13">
        <f>S20-T20</f>
        <v/>
      </c>
      <c r="AC20" s="13">
        <f>M20-U20</f>
        <v/>
      </c>
      <c r="AD20" s="14">
        <f>K20/INDEX('Market Data'!$D$2:$D$9,MATCH(A20,'Market Data'!$A$2:$A$9,0))</f>
        <v/>
      </c>
    </row>
    <row r="21">
      <c r="A21" t="inlineStr">
        <is>
          <t>Marico</t>
        </is>
      </c>
      <c r="B21" t="inlineStr">
        <is>
          <t>FY2026</t>
        </is>
      </c>
      <c r="C21" s="10" t="n">
        <v>9402</v>
      </c>
      <c r="D21" s="10" t="n">
        <v>1441</v>
      </c>
      <c r="E21" s="10" t="n">
        <v>987</v>
      </c>
      <c r="F21" s="10" t="n">
        <v>27</v>
      </c>
      <c r="G21" s="10" t="n">
        <v>142</v>
      </c>
      <c r="H21" s="10" t="n">
        <v>2259</v>
      </c>
      <c r="I21" s="11" t="n">
        <v>14</v>
      </c>
      <c r="J21" s="10" t="n">
        <v>1941</v>
      </c>
      <c r="K21" s="10" t="n">
        <v>130</v>
      </c>
      <c r="L21" s="10" t="n">
        <v>5678</v>
      </c>
      <c r="M21" s="10" t="n">
        <v>180</v>
      </c>
      <c r="N21" s="10" t="n">
        <v>7619</v>
      </c>
      <c r="O21" s="10" t="n">
        <v>113</v>
      </c>
      <c r="P21" s="10" t="n">
        <v>1037</v>
      </c>
      <c r="Q21" s="10" t="n">
        <v>790</v>
      </c>
      <c r="R21" s="10" t="n">
        <v>1631</v>
      </c>
      <c r="S21" s="10" t="n">
        <v>1609</v>
      </c>
      <c r="T21" s="10" t="n">
        <v>1356</v>
      </c>
      <c r="U21" s="10" t="n">
        <v>271</v>
      </c>
      <c r="V21" s="12">
        <f>I21/100</f>
        <v/>
      </c>
      <c r="W21" s="13">
        <f>H21+F21</f>
        <v/>
      </c>
      <c r="X21" s="13">
        <f>W21+G21</f>
        <v/>
      </c>
      <c r="Y21" s="13">
        <f>K21+L21</f>
        <v/>
      </c>
      <c r="Z21" s="13">
        <f>O21+P21+Q21</f>
        <v/>
      </c>
      <c r="AA21" s="13">
        <f>R21</f>
        <v/>
      </c>
      <c r="AB21" s="13">
        <f>S21-T21</f>
        <v/>
      </c>
      <c r="AC21" s="13">
        <f>M21-U21</f>
        <v/>
      </c>
      <c r="AD21" s="14">
        <f>K21/INDEX('Market Data'!$D$2:$D$9,MATCH(A21,'Market Data'!$A$2:$A$9,0))</f>
        <v/>
      </c>
    </row>
    <row r="22">
      <c r="A22" t="inlineStr">
        <is>
          <t>Colgate</t>
        </is>
      </c>
      <c r="B22" t="inlineStr">
        <is>
          <t>FY2022</t>
        </is>
      </c>
      <c r="C22" s="10" t="n">
        <v>5100</v>
      </c>
      <c r="D22" s="10" t="n">
        <v>1566</v>
      </c>
      <c r="E22" s="10" t="n">
        <v>26</v>
      </c>
      <c r="F22" s="10" t="n">
        <v>6</v>
      </c>
      <c r="G22" s="10" t="n">
        <v>177</v>
      </c>
      <c r="H22" s="10" t="n">
        <v>1409</v>
      </c>
      <c r="I22" s="11" t="n">
        <v>23</v>
      </c>
      <c r="J22" s="10" t="n">
        <v>1078</v>
      </c>
      <c r="K22" s="10" t="n">
        <v>27</v>
      </c>
      <c r="L22" s="10" t="n">
        <v>1707</v>
      </c>
      <c r="M22" s="10" t="n">
        <v>83</v>
      </c>
      <c r="N22" s="10" t="n">
        <v>2902</v>
      </c>
      <c r="O22" s="10" t="n">
        <v>755</v>
      </c>
      <c r="P22" s="10" t="n">
        <v>357</v>
      </c>
      <c r="Q22" s="10" t="n">
        <v>225</v>
      </c>
      <c r="R22" s="10" t="n">
        <v>1084</v>
      </c>
      <c r="S22" s="10" t="n">
        <v>1626</v>
      </c>
      <c r="T22" s="10" t="n">
        <v>1576</v>
      </c>
      <c r="U22" s="10" t="n">
        <v>91</v>
      </c>
      <c r="V22" s="12">
        <f>I22/100</f>
        <v/>
      </c>
      <c r="W22" s="13">
        <f>H22+F22</f>
        <v/>
      </c>
      <c r="X22" s="13">
        <f>W22+G22</f>
        <v/>
      </c>
      <c r="Y22" s="13">
        <f>K22+L22</f>
        <v/>
      </c>
      <c r="Z22" s="13">
        <f>O22+P22+Q22</f>
        <v/>
      </c>
      <c r="AA22" s="13">
        <f>R22</f>
        <v/>
      </c>
      <c r="AB22" s="13">
        <f>S22-T22</f>
        <v/>
      </c>
      <c r="AC22" s="13">
        <f>M22-U22</f>
        <v/>
      </c>
      <c r="AD22" s="14">
        <f>K22/INDEX('Market Data'!$D$2:$D$9,MATCH(A22,'Market Data'!$A$2:$A$9,0))</f>
        <v/>
      </c>
    </row>
    <row r="23">
      <c r="A23" t="inlineStr">
        <is>
          <t>Colgate</t>
        </is>
      </c>
      <c r="B23" t="inlineStr">
        <is>
          <t>FY2023</t>
        </is>
      </c>
      <c r="C23" s="10" t="n">
        <v>5226</v>
      </c>
      <c r="D23" s="10" t="n">
        <v>1547</v>
      </c>
      <c r="E23" s="10" t="n">
        <v>42</v>
      </c>
      <c r="F23" s="10" t="n">
        <v>5</v>
      </c>
      <c r="G23" s="10" t="n">
        <v>175</v>
      </c>
      <c r="H23" s="10" t="n">
        <v>1410</v>
      </c>
      <c r="I23" s="11" t="n">
        <v>26</v>
      </c>
      <c r="J23" s="10" t="n">
        <v>1047</v>
      </c>
      <c r="K23" s="10" t="n">
        <v>27</v>
      </c>
      <c r="L23" s="10" t="n">
        <v>1689</v>
      </c>
      <c r="M23" s="10" t="n">
        <v>69</v>
      </c>
      <c r="N23" s="10" t="n">
        <v>2883</v>
      </c>
      <c r="O23" s="10" t="n">
        <v>923</v>
      </c>
      <c r="P23" s="10" t="n">
        <v>335</v>
      </c>
      <c r="Q23" s="10" t="n">
        <v>157</v>
      </c>
      <c r="R23" s="10" t="n">
        <v>1098</v>
      </c>
      <c r="S23" s="10" t="n">
        <v>1176</v>
      </c>
      <c r="T23" s="10" t="n">
        <v>1107</v>
      </c>
      <c r="U23" s="10" t="n">
        <v>83</v>
      </c>
      <c r="V23" s="12">
        <f>I23/100</f>
        <v/>
      </c>
      <c r="W23" s="13">
        <f>H23+F23</f>
        <v/>
      </c>
      <c r="X23" s="13">
        <f>W23+G23</f>
        <v/>
      </c>
      <c r="Y23" s="13">
        <f>K23+L23</f>
        <v/>
      </c>
      <c r="Z23" s="13">
        <f>O23+P23+Q23</f>
        <v/>
      </c>
      <c r="AA23" s="13">
        <f>R23</f>
        <v/>
      </c>
      <c r="AB23" s="13">
        <f>S23-T23</f>
        <v/>
      </c>
      <c r="AC23" s="13">
        <f>M23-U23</f>
        <v/>
      </c>
      <c r="AD23" s="14">
        <f>K23/INDEX('Market Data'!$D$2:$D$9,MATCH(A23,'Market Data'!$A$2:$A$9,0))</f>
        <v/>
      </c>
    </row>
    <row r="24">
      <c r="A24" t="inlineStr">
        <is>
          <t>Colgate</t>
        </is>
      </c>
      <c r="B24" t="inlineStr">
        <is>
          <t>FY2024</t>
        </is>
      </c>
      <c r="C24" s="10" t="n">
        <v>5680</v>
      </c>
      <c r="D24" s="10" t="n">
        <v>1901</v>
      </c>
      <c r="E24" s="10" t="n">
        <v>57</v>
      </c>
      <c r="F24" s="10" t="n">
        <v>5</v>
      </c>
      <c r="G24" s="10" t="n">
        <v>172</v>
      </c>
      <c r="H24" s="10" t="n">
        <v>1781</v>
      </c>
      <c r="I24" s="11" t="n">
        <v>26</v>
      </c>
      <c r="J24" s="10" t="n">
        <v>1324</v>
      </c>
      <c r="K24" s="10" t="n">
        <v>27</v>
      </c>
      <c r="L24" s="10" t="n">
        <v>1847</v>
      </c>
      <c r="M24" s="10" t="n">
        <v>72</v>
      </c>
      <c r="N24" s="10" t="n">
        <v>3197</v>
      </c>
      <c r="O24" s="10" t="n">
        <v>1374</v>
      </c>
      <c r="P24" s="10" t="n">
        <v>296</v>
      </c>
      <c r="Q24" s="10" t="n">
        <v>167</v>
      </c>
      <c r="R24" s="10" t="n">
        <v>1250</v>
      </c>
      <c r="S24" s="10" t="n">
        <v>1199</v>
      </c>
      <c r="T24" s="10" t="n">
        <v>1123</v>
      </c>
      <c r="U24" s="10" t="n">
        <v>69</v>
      </c>
      <c r="V24" s="12">
        <f>I24/100</f>
        <v/>
      </c>
      <c r="W24" s="13">
        <f>H24+F24</f>
        <v/>
      </c>
      <c r="X24" s="13">
        <f>W24+G24</f>
        <v/>
      </c>
      <c r="Y24" s="13">
        <f>K24+L24</f>
        <v/>
      </c>
      <c r="Z24" s="13">
        <f>O24+P24+Q24</f>
        <v/>
      </c>
      <c r="AA24" s="13">
        <f>R24</f>
        <v/>
      </c>
      <c r="AB24" s="13">
        <f>S24-T24</f>
        <v/>
      </c>
      <c r="AC24" s="13">
        <f>M24-U24</f>
        <v/>
      </c>
      <c r="AD24" s="14">
        <f>K24/INDEX('Market Data'!$D$2:$D$9,MATCH(A24,'Market Data'!$A$2:$A$9,0))</f>
        <v/>
      </c>
    </row>
    <row r="25">
      <c r="A25" t="inlineStr">
        <is>
          <t>Colgate</t>
        </is>
      </c>
      <c r="B25" t="inlineStr">
        <is>
          <t>FY2025</t>
        </is>
      </c>
      <c r="C25" s="10" t="n">
        <v>6040</v>
      </c>
      <c r="D25" s="10" t="n">
        <v>1958</v>
      </c>
      <c r="E25" s="10" t="n">
        <v>139</v>
      </c>
      <c r="F25" s="10" t="n">
        <v>4</v>
      </c>
      <c r="G25" s="10" t="n">
        <v>163</v>
      </c>
      <c r="H25" s="10" t="n">
        <v>1930</v>
      </c>
      <c r="I25" s="11" t="n">
        <v>26</v>
      </c>
      <c r="J25" s="10" t="n">
        <v>1437</v>
      </c>
      <c r="K25" s="10" t="n">
        <v>27</v>
      </c>
      <c r="L25" s="10" t="n">
        <v>1637</v>
      </c>
      <c r="M25" s="10" t="n">
        <v>61</v>
      </c>
      <c r="N25" s="10" t="n">
        <v>3019</v>
      </c>
      <c r="O25" s="10" t="n">
        <v>1095</v>
      </c>
      <c r="P25" s="10" t="n">
        <v>377</v>
      </c>
      <c r="Q25" s="10" t="n">
        <v>226</v>
      </c>
      <c r="R25" s="10" t="n">
        <v>1293</v>
      </c>
      <c r="S25" s="10" t="n">
        <v>1394</v>
      </c>
      <c r="T25" s="10" t="n">
        <v>1323</v>
      </c>
      <c r="U25" s="10" t="n">
        <v>72</v>
      </c>
      <c r="V25" s="12">
        <f>I25/100</f>
        <v/>
      </c>
      <c r="W25" s="13">
        <f>H25+F25</f>
        <v/>
      </c>
      <c r="X25" s="13">
        <f>W25+G25</f>
        <v/>
      </c>
      <c r="Y25" s="13">
        <f>K25+L25</f>
        <v/>
      </c>
      <c r="Z25" s="13">
        <f>O25+P25+Q25</f>
        <v/>
      </c>
      <c r="AA25" s="13">
        <f>R25</f>
        <v/>
      </c>
      <c r="AB25" s="13">
        <f>S25-T25</f>
        <v/>
      </c>
      <c r="AC25" s="13">
        <f>M25-U25</f>
        <v/>
      </c>
      <c r="AD25" s="14">
        <f>K25/INDEX('Market Data'!$D$2:$D$9,MATCH(A25,'Market Data'!$A$2:$A$9,0))</f>
        <v/>
      </c>
    </row>
    <row r="26">
      <c r="A26" t="inlineStr">
        <is>
          <t>Colgate</t>
        </is>
      </c>
      <c r="B26" t="inlineStr">
        <is>
          <t>FY2026</t>
        </is>
      </c>
      <c r="C26" s="10" t="n">
        <v>6035</v>
      </c>
      <c r="D26" s="10" t="n">
        <v>1870</v>
      </c>
      <c r="E26" s="10" t="n">
        <v>64</v>
      </c>
      <c r="F26" s="10" t="n">
        <v>4</v>
      </c>
      <c r="G26" s="10" t="n">
        <v>146</v>
      </c>
      <c r="H26" s="10" t="n">
        <v>1784</v>
      </c>
      <c r="I26" s="11" t="n">
        <v>26</v>
      </c>
      <c r="J26" s="10" t="n">
        <v>1325</v>
      </c>
      <c r="K26" s="10" t="n">
        <v>27</v>
      </c>
      <c r="L26" s="10" t="n">
        <v>1557</v>
      </c>
      <c r="M26" s="10" t="n">
        <v>47</v>
      </c>
      <c r="N26" s="10" t="n">
        <v>3408</v>
      </c>
      <c r="O26" s="10" t="n">
        <v>1469</v>
      </c>
      <c r="P26" s="10" t="n">
        <v>376</v>
      </c>
      <c r="Q26" s="10" t="n">
        <v>209</v>
      </c>
      <c r="R26" s="10" t="n">
        <v>1777</v>
      </c>
      <c r="S26" s="10" t="n">
        <v>1806</v>
      </c>
      <c r="T26" s="10" t="n">
        <v>1730</v>
      </c>
      <c r="U26" s="10" t="n">
        <v>61</v>
      </c>
      <c r="V26" s="12">
        <f>I26/100</f>
        <v/>
      </c>
      <c r="W26" s="13">
        <f>H26+F26</f>
        <v/>
      </c>
      <c r="X26" s="13">
        <f>W26+G26</f>
        <v/>
      </c>
      <c r="Y26" s="13">
        <f>K26+L26</f>
        <v/>
      </c>
      <c r="Z26" s="13">
        <f>O26+P26+Q26</f>
        <v/>
      </c>
      <c r="AA26" s="13">
        <f>R26</f>
        <v/>
      </c>
      <c r="AB26" s="13">
        <f>S26-T26</f>
        <v/>
      </c>
      <c r="AC26" s="13">
        <f>M26-U26</f>
        <v/>
      </c>
      <c r="AD26" s="14">
        <f>K26/INDEX('Market Data'!$D$2:$D$9,MATCH(A26,'Market Data'!$A$2:$A$9,0))</f>
        <v/>
      </c>
    </row>
    <row r="27">
      <c r="A27" t="inlineStr">
        <is>
          <t>Nestle</t>
        </is>
      </c>
      <c r="B27" t="inlineStr">
        <is>
          <t>FY2022</t>
        </is>
      </c>
      <c r="C27" s="10" t="n">
        <v>16897</v>
      </c>
      <c r="D27" s="10" t="n">
        <v>3706</v>
      </c>
      <c r="E27" s="10" t="n">
        <v>107</v>
      </c>
      <c r="F27" s="10" t="n">
        <v>155</v>
      </c>
      <c r="G27" s="10" t="n">
        <v>403</v>
      </c>
      <c r="H27" s="10" t="n">
        <v>3256</v>
      </c>
      <c r="I27" s="11" t="n">
        <v>27</v>
      </c>
      <c r="J27" s="10" t="n">
        <v>2391</v>
      </c>
      <c r="K27" s="10" t="n">
        <v>96</v>
      </c>
      <c r="L27" s="10" t="n">
        <v>2363</v>
      </c>
      <c r="M27" s="10" t="n">
        <v>271</v>
      </c>
      <c r="N27" s="10" t="n">
        <v>8979</v>
      </c>
      <c r="O27" s="10" t="n">
        <v>946</v>
      </c>
      <c r="P27" s="10" t="n">
        <v>1929</v>
      </c>
      <c r="Q27" s="10" t="n">
        <v>192</v>
      </c>
      <c r="R27" s="10" t="n">
        <v>6249</v>
      </c>
      <c r="S27" s="10" t="n">
        <v>2737</v>
      </c>
      <c r="T27" s="10" t="n">
        <v>2197</v>
      </c>
      <c r="U27" s="10" t="n">
        <v>266</v>
      </c>
      <c r="V27" s="12">
        <f>I27/100</f>
        <v/>
      </c>
      <c r="W27" s="13">
        <f>H27+F27</f>
        <v/>
      </c>
      <c r="X27" s="13">
        <f>W27+G27</f>
        <v/>
      </c>
      <c r="Y27" s="13">
        <f>K27+L27</f>
        <v/>
      </c>
      <c r="Z27" s="13">
        <f>O27+P27+Q27</f>
        <v/>
      </c>
      <c r="AA27" s="13">
        <f>R27</f>
        <v/>
      </c>
      <c r="AB27" s="13">
        <f>S27-T27</f>
        <v/>
      </c>
      <c r="AC27" s="13">
        <f>M27-U27</f>
        <v/>
      </c>
      <c r="AD27" s="14">
        <f>K27/INDEX('Market Data'!$D$2:$D$9,MATCH(A27,'Market Data'!$A$2:$A$9,0))</f>
        <v/>
      </c>
    </row>
    <row r="28">
      <c r="A28" t="inlineStr">
        <is>
          <t>Nestle</t>
        </is>
      </c>
      <c r="B28" t="inlineStr">
        <is>
          <t>FY2023</t>
        </is>
      </c>
      <c r="C28" s="10" t="n">
        <v>19126</v>
      </c>
      <c r="D28" s="10" t="n">
        <v>4471</v>
      </c>
      <c r="E28" s="10" t="n">
        <v>116</v>
      </c>
      <c r="F28" s="10" t="n">
        <v>119</v>
      </c>
      <c r="G28" s="10" t="n">
        <v>429</v>
      </c>
      <c r="H28" s="10" t="n">
        <v>4038</v>
      </c>
      <c r="I28" s="11" t="n">
        <v>26</v>
      </c>
      <c r="J28" s="10" t="n">
        <v>2999</v>
      </c>
      <c r="K28" s="10" t="n">
        <v>96</v>
      </c>
      <c r="L28" s="10" t="n">
        <v>2363</v>
      </c>
      <c r="M28" s="10" t="n">
        <v>271</v>
      </c>
      <c r="N28" s="10" t="n">
        <v>8979</v>
      </c>
      <c r="O28" s="10" t="n">
        <v>946</v>
      </c>
      <c r="P28" s="10" t="n">
        <v>1929</v>
      </c>
      <c r="Q28" s="10" t="n">
        <v>192</v>
      </c>
      <c r="R28" s="10" t="n">
        <v>6249</v>
      </c>
      <c r="S28" s="10" t="n">
        <v>3392</v>
      </c>
      <c r="T28" s="10" t="n">
        <v>2028</v>
      </c>
      <c r="U28" s="10" t="n">
        <v>271</v>
      </c>
      <c r="V28" s="12">
        <f>I28/100</f>
        <v/>
      </c>
      <c r="W28" s="13">
        <f>H28+F28</f>
        <v/>
      </c>
      <c r="X28" s="13">
        <f>W28+G28</f>
        <v/>
      </c>
      <c r="Y28" s="13">
        <f>K28+L28</f>
        <v/>
      </c>
      <c r="Z28" s="13">
        <f>O28+P28+Q28</f>
        <v/>
      </c>
      <c r="AA28" s="13">
        <f>R28</f>
        <v/>
      </c>
      <c r="AB28" s="13">
        <f>S28-T28</f>
        <v/>
      </c>
      <c r="AC28" s="13">
        <f>M28-U28</f>
        <v/>
      </c>
      <c r="AD28" s="14">
        <f>K28/INDEX('Market Data'!$D$2:$D$9,MATCH(A28,'Market Data'!$A$2:$A$9,0))</f>
        <v/>
      </c>
    </row>
    <row r="29">
      <c r="A29" t="inlineStr">
        <is>
          <t>Nestle</t>
        </is>
      </c>
      <c r="B29" t="inlineStr">
        <is>
          <t>FY2024</t>
        </is>
      </c>
      <c r="C29" s="10" t="n">
        <v>24394</v>
      </c>
      <c r="D29" s="10" t="n">
        <v>5843</v>
      </c>
      <c r="E29" s="10" t="n">
        <v>159</v>
      </c>
      <c r="F29" s="10" t="n">
        <v>145</v>
      </c>
      <c r="G29" s="10" t="n">
        <v>568</v>
      </c>
      <c r="H29" s="10" t="n">
        <v>5289</v>
      </c>
      <c r="I29" s="11" t="n">
        <v>26</v>
      </c>
      <c r="J29" s="10" t="n">
        <v>3933</v>
      </c>
      <c r="K29" s="10" t="n">
        <v>96</v>
      </c>
      <c r="L29" s="10" t="n">
        <v>3244</v>
      </c>
      <c r="M29" s="10" t="n">
        <v>345</v>
      </c>
      <c r="N29" s="10" t="n">
        <v>10523</v>
      </c>
      <c r="O29" s="10" t="n">
        <v>779</v>
      </c>
      <c r="P29" s="10" t="n">
        <v>2089</v>
      </c>
      <c r="Q29" s="10" t="n">
        <v>300</v>
      </c>
      <c r="R29" s="10" t="n">
        <v>6838</v>
      </c>
      <c r="S29" s="10" t="n">
        <v>4175</v>
      </c>
      <c r="T29" s="10" t="n">
        <v>2296</v>
      </c>
      <c r="U29" s="10" t="n">
        <v>271</v>
      </c>
      <c r="V29" s="12">
        <f>I29/100</f>
        <v/>
      </c>
      <c r="W29" s="13">
        <f>H29+F29</f>
        <v/>
      </c>
      <c r="X29" s="13">
        <f>W29+G29</f>
        <v/>
      </c>
      <c r="Y29" s="13">
        <f>K29+L29</f>
        <v/>
      </c>
      <c r="Z29" s="13">
        <f>O29+P29+Q29</f>
        <v/>
      </c>
      <c r="AA29" s="13">
        <f>R29</f>
        <v/>
      </c>
      <c r="AB29" s="13">
        <f>S29-T29</f>
        <v/>
      </c>
      <c r="AC29" s="13">
        <f>M29-U29</f>
        <v/>
      </c>
      <c r="AD29" s="14">
        <f>K29/INDEX('Market Data'!$D$2:$D$9,MATCH(A29,'Market Data'!$A$2:$A$9,0))</f>
        <v/>
      </c>
    </row>
    <row r="30">
      <c r="A30" t="inlineStr">
        <is>
          <t>Nestle</t>
        </is>
      </c>
      <c r="B30" t="inlineStr">
        <is>
          <t>FY2025</t>
        </is>
      </c>
      <c r="C30" s="10" t="n">
        <v>20202</v>
      </c>
      <c r="D30" s="10" t="n">
        <v>4771</v>
      </c>
      <c r="E30" s="10" t="n">
        <v>352</v>
      </c>
      <c r="F30" s="10" t="n">
        <v>136</v>
      </c>
      <c r="G30" s="10" t="n">
        <v>540</v>
      </c>
      <c r="H30" s="10" t="n">
        <v>4447</v>
      </c>
      <c r="I30" s="11" t="n">
        <v>25</v>
      </c>
      <c r="J30" s="10" t="n">
        <v>3314</v>
      </c>
      <c r="K30" s="10" t="n">
        <v>96</v>
      </c>
      <c r="L30" s="10" t="n">
        <v>4021</v>
      </c>
      <c r="M30" s="10" t="n">
        <v>1167</v>
      </c>
      <c r="N30" s="10" t="n">
        <v>12324</v>
      </c>
      <c r="O30" s="10" t="n">
        <v>96</v>
      </c>
      <c r="P30" s="10" t="n">
        <v>2850</v>
      </c>
      <c r="Q30" s="10" t="n">
        <v>363</v>
      </c>
      <c r="R30" s="10" t="n">
        <v>7040</v>
      </c>
      <c r="S30" s="10" t="n">
        <v>2935</v>
      </c>
      <c r="T30" s="10" t="n">
        <v>930</v>
      </c>
      <c r="U30" s="10" t="n">
        <v>345</v>
      </c>
      <c r="V30" s="12">
        <f>I30/100</f>
        <v/>
      </c>
      <c r="W30" s="13">
        <f>H30+F30</f>
        <v/>
      </c>
      <c r="X30" s="13">
        <f>W30+G30</f>
        <v/>
      </c>
      <c r="Y30" s="13">
        <f>K30+L30</f>
        <v/>
      </c>
      <c r="Z30" s="13">
        <f>O30+P30+Q30</f>
        <v/>
      </c>
      <c r="AA30" s="13">
        <f>R30</f>
        <v/>
      </c>
      <c r="AB30" s="13">
        <f>S30-T30</f>
        <v/>
      </c>
      <c r="AC30" s="13">
        <f>M30-U30</f>
        <v/>
      </c>
      <c r="AD30" s="14">
        <f>K30/INDEX('Market Data'!$D$2:$D$9,MATCH(A30,'Market Data'!$A$2:$A$9,0))</f>
        <v/>
      </c>
    </row>
    <row r="31">
      <c r="A31" t="inlineStr">
        <is>
          <t>Nestle</t>
        </is>
      </c>
      <c r="B31" t="inlineStr">
        <is>
          <t>FY2026</t>
        </is>
      </c>
      <c r="C31" s="10" t="n">
        <v>23155</v>
      </c>
      <c r="D31" s="10" t="n">
        <v>5307</v>
      </c>
      <c r="E31" s="10" t="n">
        <v>160</v>
      </c>
      <c r="F31" s="10" t="n">
        <v>158</v>
      </c>
      <c r="G31" s="10" t="n">
        <v>699</v>
      </c>
      <c r="H31" s="10" t="n">
        <v>4610</v>
      </c>
      <c r="I31" s="11" t="n">
        <v>23</v>
      </c>
      <c r="J31" s="10" t="n">
        <v>3545</v>
      </c>
      <c r="K31" s="10" t="n">
        <v>193</v>
      </c>
      <c r="L31" s="10" t="n">
        <v>5116</v>
      </c>
      <c r="M31" s="10" t="n">
        <v>444</v>
      </c>
      <c r="N31" s="10" t="n">
        <v>13357</v>
      </c>
      <c r="O31" s="10" t="n">
        <v>1341</v>
      </c>
      <c r="P31" s="10" t="n">
        <v>2569</v>
      </c>
      <c r="Q31" s="10" t="n">
        <v>329</v>
      </c>
      <c r="R31" s="10" t="n">
        <v>7604</v>
      </c>
      <c r="S31" s="10" t="n">
        <v>5048</v>
      </c>
      <c r="T31" s="10" t="n">
        <v>4221</v>
      </c>
      <c r="U31" s="10" t="n">
        <v>1167</v>
      </c>
      <c r="V31" s="12">
        <f>I31/100</f>
        <v/>
      </c>
      <c r="W31" s="13">
        <f>H31+F31</f>
        <v/>
      </c>
      <c r="X31" s="13">
        <f>W31+G31</f>
        <v/>
      </c>
      <c r="Y31" s="13">
        <f>K31+L31</f>
        <v/>
      </c>
      <c r="Z31" s="13">
        <f>O31+P31+Q31</f>
        <v/>
      </c>
      <c r="AA31" s="13">
        <f>R31</f>
        <v/>
      </c>
      <c r="AB31" s="13">
        <f>S31-T31</f>
        <v/>
      </c>
      <c r="AC31" s="13">
        <f>M31-U31</f>
        <v/>
      </c>
      <c r="AD31" s="14">
        <f>K31/INDEX('Market Data'!$D$2:$D$9,MATCH(A31,'Market Data'!$A$2:$A$9,0))</f>
        <v/>
      </c>
    </row>
    <row r="32">
      <c r="A32" t="inlineStr">
        <is>
          <t>Godrej</t>
        </is>
      </c>
      <c r="B32" t="inlineStr">
        <is>
          <t>FY2022</t>
        </is>
      </c>
      <c r="C32" s="10" t="n">
        <v>6952</v>
      </c>
      <c r="D32" s="10" t="n">
        <v>1729</v>
      </c>
      <c r="E32" s="10" t="n">
        <v>127</v>
      </c>
      <c r="F32" s="10" t="n">
        <v>8</v>
      </c>
      <c r="G32" s="10" t="n">
        <v>86</v>
      </c>
      <c r="H32" s="10" t="n">
        <v>1762</v>
      </c>
      <c r="I32" s="11" t="n">
        <v>16</v>
      </c>
      <c r="J32" s="10" t="n">
        <v>1479</v>
      </c>
      <c r="K32" s="10" t="n">
        <v>102</v>
      </c>
      <c r="L32" s="10" t="n">
        <v>7749</v>
      </c>
      <c r="M32" s="10" t="n">
        <v>31</v>
      </c>
      <c r="N32" s="10" t="n">
        <v>8883</v>
      </c>
      <c r="O32" s="10" t="n">
        <v>345</v>
      </c>
      <c r="P32" s="10" t="n">
        <v>791</v>
      </c>
      <c r="Q32" s="10" t="n">
        <v>337</v>
      </c>
      <c r="R32" s="10" t="n">
        <v>1000</v>
      </c>
      <c r="S32" s="10" t="n">
        <v>961</v>
      </c>
      <c r="T32" s="10" t="n">
        <v>805</v>
      </c>
      <c r="U32" s="10" t="n">
        <v>44</v>
      </c>
      <c r="V32" s="12">
        <f>I32/100</f>
        <v/>
      </c>
      <c r="W32" s="13">
        <f>H32+F32</f>
        <v/>
      </c>
      <c r="X32" s="13">
        <f>W32+G32</f>
        <v/>
      </c>
      <c r="Y32" s="13">
        <f>K32+L32</f>
        <v/>
      </c>
      <c r="Z32" s="13">
        <f>O32+P32+Q32</f>
        <v/>
      </c>
      <c r="AA32" s="13">
        <f>R32</f>
        <v/>
      </c>
      <c r="AB32" s="13">
        <f>S32-T32</f>
        <v/>
      </c>
      <c r="AC32" s="13">
        <f>M32-U32</f>
        <v/>
      </c>
      <c r="AD32" s="14">
        <f>K32/INDEX('Market Data'!$D$2:$D$9,MATCH(A32,'Market Data'!$A$2:$A$9,0))</f>
        <v/>
      </c>
    </row>
    <row r="33">
      <c r="A33" t="inlineStr">
        <is>
          <t>Godrej</t>
        </is>
      </c>
      <c r="B33" t="inlineStr">
        <is>
          <t>FY2023</t>
        </is>
      </c>
      <c r="C33" s="10" t="n">
        <v>7667</v>
      </c>
      <c r="D33" s="10" t="n">
        <v>1869</v>
      </c>
      <c r="E33" s="10" t="n">
        <v>112</v>
      </c>
      <c r="F33" s="10" t="n">
        <v>3</v>
      </c>
      <c r="G33" s="10" t="n">
        <v>108</v>
      </c>
      <c r="H33" s="10" t="n">
        <v>1870</v>
      </c>
      <c r="I33" s="11" t="n">
        <v>19</v>
      </c>
      <c r="J33" s="10" t="n">
        <v>1514</v>
      </c>
      <c r="K33" s="10" t="n">
        <v>102</v>
      </c>
      <c r="L33" s="10" t="n">
        <v>9284</v>
      </c>
      <c r="M33" s="10" t="n">
        <v>66</v>
      </c>
      <c r="N33" s="10" t="n">
        <v>10561</v>
      </c>
      <c r="O33" s="10" t="n">
        <v>50</v>
      </c>
      <c r="P33" s="10" t="n">
        <v>592</v>
      </c>
      <c r="Q33" s="10" t="n">
        <v>321</v>
      </c>
      <c r="R33" s="10" t="n">
        <v>1109</v>
      </c>
      <c r="S33" s="10" t="n">
        <v>1977</v>
      </c>
      <c r="T33" s="10" t="n">
        <v>1815</v>
      </c>
      <c r="U33" s="10" t="n">
        <v>31</v>
      </c>
      <c r="V33" s="12">
        <f>I33/100</f>
        <v/>
      </c>
      <c r="W33" s="13">
        <f>H33+F33</f>
        <v/>
      </c>
      <c r="X33" s="13">
        <f>W33+G33</f>
        <v/>
      </c>
      <c r="Y33" s="13">
        <f>K33+L33</f>
        <v/>
      </c>
      <c r="Z33" s="13">
        <f>O33+P33+Q33</f>
        <v/>
      </c>
      <c r="AA33" s="13">
        <f>R33</f>
        <v/>
      </c>
      <c r="AB33" s="13">
        <f>S33-T33</f>
        <v/>
      </c>
      <c r="AC33" s="13">
        <f>M33-U33</f>
        <v/>
      </c>
      <c r="AD33" s="14">
        <f>K33/INDEX('Market Data'!$D$2:$D$9,MATCH(A33,'Market Data'!$A$2:$A$9,0))</f>
        <v/>
      </c>
    </row>
    <row r="34">
      <c r="A34" t="inlineStr">
        <is>
          <t>Godrej</t>
        </is>
      </c>
      <c r="B34" t="inlineStr">
        <is>
          <t>FY2024</t>
        </is>
      </c>
      <c r="C34" s="10" t="n">
        <v>8411</v>
      </c>
      <c r="D34" s="10" t="n">
        <v>2243</v>
      </c>
      <c r="E34" s="10" t="n">
        <v>-697</v>
      </c>
      <c r="F34" s="10" t="n">
        <v>134</v>
      </c>
      <c r="G34" s="10" t="n">
        <v>127</v>
      </c>
      <c r="H34" s="10" t="n">
        <v>1285</v>
      </c>
      <c r="I34" s="11" t="n">
        <v>50</v>
      </c>
      <c r="J34" s="10" t="n">
        <v>647</v>
      </c>
      <c r="K34" s="10" t="n">
        <v>102</v>
      </c>
      <c r="L34" s="10" t="n">
        <v>9450</v>
      </c>
      <c r="M34" s="10" t="n">
        <v>2009</v>
      </c>
      <c r="N34" s="10" t="n">
        <v>12988</v>
      </c>
      <c r="O34" s="10" t="n">
        <v>244</v>
      </c>
      <c r="P34" s="10" t="n">
        <v>647</v>
      </c>
      <c r="Q34" s="10" t="n">
        <v>491</v>
      </c>
      <c r="R34" s="10" t="n">
        <v>1427</v>
      </c>
      <c r="S34" s="10" t="n">
        <v>1823</v>
      </c>
      <c r="T34" s="10" t="n">
        <v>1639</v>
      </c>
      <c r="U34" s="10" t="n">
        <v>66</v>
      </c>
      <c r="V34" s="12">
        <f>I34/100</f>
        <v/>
      </c>
      <c r="W34" s="13">
        <f>H34+F34</f>
        <v/>
      </c>
      <c r="X34" s="13">
        <f>W34+G34</f>
        <v/>
      </c>
      <c r="Y34" s="13">
        <f>K34+L34</f>
        <v/>
      </c>
      <c r="Z34" s="13">
        <f>O34+P34+Q34</f>
        <v/>
      </c>
      <c r="AA34" s="13">
        <f>R34</f>
        <v/>
      </c>
      <c r="AB34" s="13">
        <f>S34-T34</f>
        <v/>
      </c>
      <c r="AC34" s="13">
        <f>M34-U34</f>
        <v/>
      </c>
      <c r="AD34" s="14">
        <f>K34/INDEX('Market Data'!$D$2:$D$9,MATCH(A34,'Market Data'!$A$2:$A$9,0))</f>
        <v/>
      </c>
    </row>
    <row r="35">
      <c r="A35" t="inlineStr">
        <is>
          <t>Godrej</t>
        </is>
      </c>
      <c r="B35" t="inlineStr">
        <is>
          <t>FY2025</t>
        </is>
      </c>
      <c r="C35" s="10" t="n">
        <v>8910</v>
      </c>
      <c r="D35" s="10" t="n">
        <v>2100</v>
      </c>
      <c r="E35" s="10" t="n">
        <v>248</v>
      </c>
      <c r="F35" s="10" t="n">
        <v>191</v>
      </c>
      <c r="G35" s="10" t="n">
        <v>141</v>
      </c>
      <c r="H35" s="10" t="n">
        <v>2016</v>
      </c>
      <c r="I35" s="11" t="n">
        <v>33</v>
      </c>
      <c r="J35" s="10" t="n">
        <v>1351</v>
      </c>
      <c r="K35" s="10" t="n">
        <v>102</v>
      </c>
      <c r="L35" s="10" t="n">
        <v>8263</v>
      </c>
      <c r="M35" s="10" t="n">
        <v>2646</v>
      </c>
      <c r="N35" s="10" t="n">
        <v>13362</v>
      </c>
      <c r="O35" s="10" t="n">
        <v>152</v>
      </c>
      <c r="P35" s="10" t="n">
        <v>697</v>
      </c>
      <c r="Q35" s="10" t="n">
        <v>596</v>
      </c>
      <c r="R35" s="10" t="n">
        <v>2351</v>
      </c>
      <c r="S35" s="10" t="n">
        <v>2114</v>
      </c>
      <c r="T35" s="10" t="n">
        <v>1649</v>
      </c>
      <c r="U35" s="10" t="n">
        <v>2009</v>
      </c>
      <c r="V35" s="12">
        <f>I35/100</f>
        <v/>
      </c>
      <c r="W35" s="13">
        <f>H35+F35</f>
        <v/>
      </c>
      <c r="X35" s="13">
        <f>W35+G35</f>
        <v/>
      </c>
      <c r="Y35" s="13">
        <f>K35+L35</f>
        <v/>
      </c>
      <c r="Z35" s="13">
        <f>O35+P35+Q35</f>
        <v/>
      </c>
      <c r="AA35" s="13">
        <f>R35</f>
        <v/>
      </c>
      <c r="AB35" s="13">
        <f>S35-T35</f>
        <v/>
      </c>
      <c r="AC35" s="13">
        <f>M35-U35</f>
        <v/>
      </c>
      <c r="AD35" s="14">
        <f>K35/INDEX('Market Data'!$D$2:$D$9,MATCH(A35,'Market Data'!$A$2:$A$9,0))</f>
        <v/>
      </c>
    </row>
    <row r="36">
      <c r="A36" t="inlineStr">
        <is>
          <t>Godrej</t>
        </is>
      </c>
      <c r="B36" t="inlineStr">
        <is>
          <t>FY2026</t>
        </is>
      </c>
      <c r="C36" s="10" t="n">
        <v>9474</v>
      </c>
      <c r="D36" s="10" t="n">
        <v>2236</v>
      </c>
      <c r="E36" s="10" t="n">
        <v>145</v>
      </c>
      <c r="F36" s="10" t="n">
        <v>199</v>
      </c>
      <c r="G36" s="10" t="n">
        <v>160</v>
      </c>
      <c r="H36" s="10" t="n">
        <v>2022</v>
      </c>
      <c r="I36" s="11" t="n">
        <v>25</v>
      </c>
      <c r="J36" s="10" t="n">
        <v>1516</v>
      </c>
      <c r="K36" s="10" t="n">
        <v>102</v>
      </c>
      <c r="L36" s="10" t="n">
        <v>7742</v>
      </c>
      <c r="M36" s="10" t="n">
        <v>2948</v>
      </c>
      <c r="N36" s="10" t="n">
        <v>13365</v>
      </c>
      <c r="O36" s="10" t="n">
        <v>91</v>
      </c>
      <c r="P36" s="10" t="n">
        <v>677</v>
      </c>
      <c r="Q36" s="10" t="n">
        <v>578</v>
      </c>
      <c r="R36" s="10" t="n">
        <v>2573</v>
      </c>
      <c r="S36" s="10" t="n">
        <v>1791</v>
      </c>
      <c r="T36" s="10" t="n">
        <v>1359</v>
      </c>
      <c r="U36" s="10" t="n">
        <v>2646</v>
      </c>
      <c r="V36" s="12">
        <f>I36/100</f>
        <v/>
      </c>
      <c r="W36" s="13">
        <f>H36+F36</f>
        <v/>
      </c>
      <c r="X36" s="13">
        <f>W36+G36</f>
        <v/>
      </c>
      <c r="Y36" s="13">
        <f>K36+L36</f>
        <v/>
      </c>
      <c r="Z36" s="13">
        <f>O36+P36+Q36</f>
        <v/>
      </c>
      <c r="AA36" s="13">
        <f>R36</f>
        <v/>
      </c>
      <c r="AB36" s="13">
        <f>S36-T36</f>
        <v/>
      </c>
      <c r="AC36" s="13">
        <f>M36-U36</f>
        <v/>
      </c>
      <c r="AD36" s="14">
        <f>K36/INDEX('Market Data'!$D$2:$D$9,MATCH(A36,'Market Data'!$A$2:$A$9,0))</f>
        <v/>
      </c>
    </row>
    <row r="37">
      <c r="A37" t="inlineStr">
        <is>
          <t>Emami</t>
        </is>
      </c>
      <c r="B37" t="inlineStr">
        <is>
          <t>FY2022</t>
        </is>
      </c>
      <c r="C37" s="10" t="n">
        <v>2867</v>
      </c>
      <c r="D37" s="10" t="n">
        <v>897</v>
      </c>
      <c r="E37" s="10" t="n">
        <v>123</v>
      </c>
      <c r="F37" s="10" t="n">
        <v>3</v>
      </c>
      <c r="G37" s="10" t="n">
        <v>328</v>
      </c>
      <c r="H37" s="10" t="n">
        <v>689</v>
      </c>
      <c r="I37" s="11" t="n">
        <v>-23</v>
      </c>
      <c r="J37" s="10" t="n">
        <v>851</v>
      </c>
      <c r="K37" s="10" t="n">
        <v>44</v>
      </c>
      <c r="L37" s="10" t="n">
        <v>2042</v>
      </c>
      <c r="M37" s="10" t="n">
        <v>224</v>
      </c>
      <c r="N37" s="10" t="n">
        <v>2826</v>
      </c>
      <c r="O37" s="10" t="n">
        <v>56</v>
      </c>
      <c r="P37" s="10" t="n">
        <v>329</v>
      </c>
      <c r="Q37" s="10" t="n">
        <v>194</v>
      </c>
      <c r="R37" s="10" t="n">
        <v>516</v>
      </c>
      <c r="S37" s="10" t="n">
        <v>596</v>
      </c>
      <c r="T37" s="10" t="n">
        <v>122</v>
      </c>
      <c r="U37" s="10" t="n">
        <v>47</v>
      </c>
      <c r="V37" s="12">
        <f>I37/100</f>
        <v/>
      </c>
      <c r="W37" s="13">
        <f>H37+F37</f>
        <v/>
      </c>
      <c r="X37" s="13">
        <f>W37+G37</f>
        <v/>
      </c>
      <c r="Y37" s="13">
        <f>K37+L37</f>
        <v/>
      </c>
      <c r="Z37" s="13">
        <f>O37+P37+Q37</f>
        <v/>
      </c>
      <c r="AA37" s="13">
        <f>R37</f>
        <v/>
      </c>
      <c r="AB37" s="13">
        <f>S37-T37</f>
        <v/>
      </c>
      <c r="AC37" s="13">
        <f>M37-U37</f>
        <v/>
      </c>
      <c r="AD37" s="14">
        <f>K37/INDEX('Market Data'!$D$2:$D$9,MATCH(A37,'Market Data'!$A$2:$A$9,0))</f>
        <v/>
      </c>
    </row>
    <row r="38">
      <c r="A38" t="inlineStr">
        <is>
          <t>Emami</t>
        </is>
      </c>
      <c r="B38" t="inlineStr">
        <is>
          <t>FY2023</t>
        </is>
      </c>
      <c r="C38" s="10" t="n">
        <v>2907</v>
      </c>
      <c r="D38" s="10" t="n">
        <v>777</v>
      </c>
      <c r="E38" s="10" t="n">
        <v>48</v>
      </c>
      <c r="F38" s="10" t="n">
        <v>4</v>
      </c>
      <c r="G38" s="10" t="n">
        <v>215</v>
      </c>
      <c r="H38" s="10" t="n">
        <v>606</v>
      </c>
      <c r="I38" s="11" t="n">
        <v>5</v>
      </c>
      <c r="J38" s="10" t="n">
        <v>574</v>
      </c>
      <c r="K38" s="10" t="n">
        <v>44</v>
      </c>
      <c r="L38" s="10" t="n">
        <v>2220</v>
      </c>
      <c r="M38" s="10" t="n">
        <v>21</v>
      </c>
      <c r="N38" s="10" t="n">
        <v>2751</v>
      </c>
      <c r="O38" s="10" t="n">
        <v>96</v>
      </c>
      <c r="P38" s="10" t="n">
        <v>292</v>
      </c>
      <c r="Q38" s="10" t="n">
        <v>260</v>
      </c>
      <c r="R38" s="10" t="n">
        <v>467</v>
      </c>
      <c r="S38" s="10" t="n">
        <v>731</v>
      </c>
      <c r="T38" s="10" t="n">
        <v>710</v>
      </c>
      <c r="U38" s="10" t="n">
        <v>224</v>
      </c>
      <c r="V38" s="12">
        <f>I38/100</f>
        <v/>
      </c>
      <c r="W38" s="13">
        <f>H38+F38</f>
        <v/>
      </c>
      <c r="X38" s="13">
        <f>W38+G38</f>
        <v/>
      </c>
      <c r="Y38" s="13">
        <f>K38+L38</f>
        <v/>
      </c>
      <c r="Z38" s="13">
        <f>O38+P38+Q38</f>
        <v/>
      </c>
      <c r="AA38" s="13">
        <f>R38</f>
        <v/>
      </c>
      <c r="AB38" s="13">
        <f>S38-T38</f>
        <v/>
      </c>
      <c r="AC38" s="13">
        <f>M38-U38</f>
        <v/>
      </c>
      <c r="AD38" s="14">
        <f>K38/INDEX('Market Data'!$D$2:$D$9,MATCH(A38,'Market Data'!$A$2:$A$9,0))</f>
        <v/>
      </c>
    </row>
    <row r="39">
      <c r="A39" t="inlineStr">
        <is>
          <t>Emami</t>
        </is>
      </c>
      <c r="B39" t="inlineStr">
        <is>
          <t>FY2024</t>
        </is>
      </c>
      <c r="C39" s="10" t="n">
        <v>2922</v>
      </c>
      <c r="D39" s="10" t="n">
        <v>852</v>
      </c>
      <c r="E39" s="10" t="n">
        <v>63</v>
      </c>
      <c r="F39" s="10" t="n">
        <v>2</v>
      </c>
      <c r="G39" s="10" t="n">
        <v>167</v>
      </c>
      <c r="H39" s="10" t="n">
        <v>747</v>
      </c>
      <c r="I39" s="11" t="n">
        <v>7</v>
      </c>
      <c r="J39" s="10" t="n">
        <v>693</v>
      </c>
      <c r="K39" s="10" t="n">
        <v>44</v>
      </c>
      <c r="L39" s="10" t="n">
        <v>2339</v>
      </c>
      <c r="M39" s="10" t="n">
        <v>22</v>
      </c>
      <c r="N39" s="10" t="n">
        <v>2847</v>
      </c>
      <c r="O39" s="10" t="n">
        <v>91</v>
      </c>
      <c r="P39" s="10" t="n">
        <v>268</v>
      </c>
      <c r="Q39" s="10" t="n">
        <v>283</v>
      </c>
      <c r="R39" s="10" t="n">
        <v>441</v>
      </c>
      <c r="S39" s="10" t="n">
        <v>740</v>
      </c>
      <c r="T39" s="10" t="n">
        <v>713</v>
      </c>
      <c r="U39" s="10" t="n">
        <v>21</v>
      </c>
      <c r="V39" s="12">
        <f>I39/100</f>
        <v/>
      </c>
      <c r="W39" s="13">
        <f>H39+F39</f>
        <v/>
      </c>
      <c r="X39" s="13">
        <f>W39+G39</f>
        <v/>
      </c>
      <c r="Y39" s="13">
        <f>K39+L39</f>
        <v/>
      </c>
      <c r="Z39" s="13">
        <f>O39+P39+Q39</f>
        <v/>
      </c>
      <c r="AA39" s="13">
        <f>R39</f>
        <v/>
      </c>
      <c r="AB39" s="13">
        <f>S39-T39</f>
        <v/>
      </c>
      <c r="AC39" s="13">
        <f>M39-U39</f>
        <v/>
      </c>
      <c r="AD39" s="14">
        <f>K39/INDEX('Market Data'!$D$2:$D$9,MATCH(A39,'Market Data'!$A$2:$A$9,0))</f>
        <v/>
      </c>
    </row>
    <row r="40">
      <c r="A40" t="inlineStr">
        <is>
          <t>Emami</t>
        </is>
      </c>
      <c r="B40" t="inlineStr">
        <is>
          <t>FY2025</t>
        </is>
      </c>
      <c r="C40" s="10" t="n">
        <v>3124</v>
      </c>
      <c r="D40" s="10" t="n">
        <v>937</v>
      </c>
      <c r="E40" s="10" t="n">
        <v>157</v>
      </c>
      <c r="F40" s="10" t="n">
        <v>2</v>
      </c>
      <c r="G40" s="10" t="n">
        <v>158</v>
      </c>
      <c r="H40" s="10" t="n">
        <v>934</v>
      </c>
      <c r="I40" s="11" t="n">
        <v>8</v>
      </c>
      <c r="J40" s="10" t="n">
        <v>859</v>
      </c>
      <c r="K40" s="10" t="n">
        <v>44</v>
      </c>
      <c r="L40" s="10" t="n">
        <v>2824</v>
      </c>
      <c r="M40" s="10" t="n">
        <v>14</v>
      </c>
      <c r="N40" s="10" t="n">
        <v>3384</v>
      </c>
      <c r="O40" s="10" t="n">
        <v>182</v>
      </c>
      <c r="P40" s="10" t="n">
        <v>259</v>
      </c>
      <c r="Q40" s="10" t="n">
        <v>285</v>
      </c>
      <c r="R40" s="10" t="n">
        <v>503</v>
      </c>
      <c r="S40" s="10" t="n">
        <v>864</v>
      </c>
      <c r="T40" s="10" t="n">
        <v>824</v>
      </c>
      <c r="U40" s="10" t="n">
        <v>22</v>
      </c>
      <c r="V40" s="12">
        <f>I40/100</f>
        <v/>
      </c>
      <c r="W40" s="13">
        <f>H40+F40</f>
        <v/>
      </c>
      <c r="X40" s="13">
        <f>W40+G40</f>
        <v/>
      </c>
      <c r="Y40" s="13">
        <f>K40+L40</f>
        <v/>
      </c>
      <c r="Z40" s="13">
        <f>O40+P40+Q40</f>
        <v/>
      </c>
      <c r="AA40" s="13">
        <f>R40</f>
        <v/>
      </c>
      <c r="AB40" s="13">
        <f>S40-T40</f>
        <v/>
      </c>
      <c r="AC40" s="13">
        <f>M40-U40</f>
        <v/>
      </c>
      <c r="AD40" s="14">
        <f>K40/INDEX('Market Data'!$D$2:$D$9,MATCH(A40,'Market Data'!$A$2:$A$9,0))</f>
        <v/>
      </c>
    </row>
    <row r="41">
      <c r="A41" t="inlineStr">
        <is>
          <t>Emami</t>
        </is>
      </c>
      <c r="B41" t="inlineStr">
        <is>
          <t>FY2026</t>
        </is>
      </c>
      <c r="C41" s="10" t="n">
        <v>3048</v>
      </c>
      <c r="D41" s="10" t="n">
        <v>950</v>
      </c>
      <c r="E41" s="10" t="n">
        <v>108</v>
      </c>
      <c r="F41" s="10" t="n">
        <v>2</v>
      </c>
      <c r="G41" s="10" t="n">
        <v>156</v>
      </c>
      <c r="H41" s="10" t="n">
        <v>901</v>
      </c>
      <c r="I41" s="11" t="n">
        <v>7</v>
      </c>
      <c r="J41" s="10" t="n">
        <v>842</v>
      </c>
      <c r="K41" s="10" t="n">
        <v>44</v>
      </c>
      <c r="L41" s="10" t="n">
        <v>3112</v>
      </c>
      <c r="M41" s="10" t="n">
        <v>92</v>
      </c>
      <c r="N41" s="10" t="n">
        <v>3726</v>
      </c>
      <c r="O41" s="10" t="n">
        <v>317</v>
      </c>
      <c r="P41" s="10" t="n">
        <v>334</v>
      </c>
      <c r="Q41" s="10" t="n">
        <v>190</v>
      </c>
      <c r="R41" s="10" t="n">
        <v>478</v>
      </c>
      <c r="S41" s="10" t="n">
        <v>794</v>
      </c>
      <c r="T41" s="10" t="n">
        <v>760</v>
      </c>
      <c r="U41" s="10" t="n">
        <v>14</v>
      </c>
      <c r="V41" s="12">
        <f>I41/100</f>
        <v/>
      </c>
      <c r="W41" s="13">
        <f>H41+F41</f>
        <v/>
      </c>
      <c r="X41" s="13">
        <f>W41+G41</f>
        <v/>
      </c>
      <c r="Y41" s="13">
        <f>K41+L41</f>
        <v/>
      </c>
      <c r="Z41" s="13">
        <f>O41+P41+Q41</f>
        <v/>
      </c>
      <c r="AA41" s="13">
        <f>R41</f>
        <v/>
      </c>
      <c r="AB41" s="13">
        <f>S41-T41</f>
        <v/>
      </c>
      <c r="AC41" s="13">
        <f>M41-U41</f>
        <v/>
      </c>
      <c r="AD41" s="14">
        <f>K41/INDEX('Market Data'!$D$2:$D$9,MATCH(A41,'Market Data'!$A$2:$A$9,0))</f>
        <v/>
      </c>
    </row>
    <row r="42"/>
    <row r="43">
      <c r="A43" s="2" t="inlineStr">
        <is>
          <t>All figures ₹ Cr (SharesOutstanding in Cr shares; TaxPct in %). Blue = input from data/cleaned/. Black = derived formula. PrevTotalDebt = prior-FY borrowings (for ΔDebt).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9" customWidth="1" min="5" max="5"/>
    <col width="11" customWidth="1" min="6" max="6"/>
    <col width="13" customWidth="1" min="7" max="7"/>
    <col width="13" customWidth="1" min="8" max="8"/>
    <col width="13" customWidth="1" min="9" max="9"/>
  </cols>
  <sheetData>
    <row r="1">
      <c r="A1" s="9" t="inlineStr">
        <is>
          <t>Company</t>
        </is>
      </c>
      <c r="B1" s="9" t="inlineStr">
        <is>
          <t>MarketCap</t>
        </is>
      </c>
      <c r="C1" s="9" t="inlineStr">
        <is>
          <t>CurrentPrice</t>
        </is>
      </c>
      <c r="D1" s="9" t="inlineStr">
        <is>
          <t>FaceValue</t>
        </is>
      </c>
      <c r="E1" s="9" t="inlineStr">
        <is>
          <t>StockPE</t>
        </is>
      </c>
      <c r="F1" s="9" t="inlineStr">
        <is>
          <t>BookValue</t>
        </is>
      </c>
      <c r="G1" s="9" t="inlineStr">
        <is>
          <t>DividendYieldPct</t>
        </is>
      </c>
      <c r="H1" s="9" t="inlineStr">
        <is>
          <t>ScreenerROCEPct</t>
        </is>
      </c>
      <c r="I1" s="9" t="inlineStr">
        <is>
          <t>ScreenerROEPct</t>
        </is>
      </c>
    </row>
    <row r="2">
      <c r="A2" t="inlineStr">
        <is>
          <t>HUL</t>
        </is>
      </c>
      <c r="B2" s="10" t="n">
        <v>512511</v>
      </c>
      <c r="C2" s="15" t="n">
        <v>2182</v>
      </c>
      <c r="D2" s="15" t="n">
        <v>1</v>
      </c>
      <c r="E2" s="16" t="n">
        <v>33.6</v>
      </c>
      <c r="F2" s="15" t="n">
        <v>210</v>
      </c>
      <c r="G2" s="15" t="n">
        <v>1.88</v>
      </c>
      <c r="H2" s="15" t="n">
        <v>28.1</v>
      </c>
      <c r="I2" s="15" t="n">
        <v>31</v>
      </c>
    </row>
    <row r="3">
      <c r="A3" t="inlineStr">
        <is>
          <t>ITC</t>
        </is>
      </c>
      <c r="B3" s="10" t="n">
        <v>363667</v>
      </c>
      <c r="C3" s="15" t="n">
        <v>290</v>
      </c>
      <c r="D3" s="15" t="n">
        <v>1</v>
      </c>
      <c r="E3" s="16" t="n">
        <v>17.8</v>
      </c>
      <c r="F3" s="15" t="n">
        <v>55.8</v>
      </c>
      <c r="G3" s="15" t="n">
        <v>4.99</v>
      </c>
      <c r="H3" s="15" t="n">
        <v>38.6</v>
      </c>
      <c r="I3" s="15" t="n">
        <v>29.6</v>
      </c>
    </row>
    <row r="4">
      <c r="A4" t="inlineStr">
        <is>
          <t>Dabur</t>
        </is>
      </c>
      <c r="B4" s="10" t="n">
        <v>78915</v>
      </c>
      <c r="C4" s="15" t="n">
        <v>445</v>
      </c>
      <c r="D4" s="15" t="n">
        <v>1</v>
      </c>
      <c r="E4" s="16" t="n">
        <v>52.5</v>
      </c>
      <c r="F4" s="15" t="n">
        <v>42.4</v>
      </c>
      <c r="G4" s="15" t="n">
        <v>1.85</v>
      </c>
      <c r="H4" s="15" t="n">
        <v>25.1</v>
      </c>
      <c r="I4" s="15" t="n">
        <v>20.1</v>
      </c>
    </row>
    <row r="5">
      <c r="A5" t="inlineStr">
        <is>
          <t>Marico</t>
        </is>
      </c>
      <c r="B5" s="10" t="n">
        <v>110506</v>
      </c>
      <c r="C5" s="15" t="n">
        <v>851</v>
      </c>
      <c r="D5" s="15" t="n">
        <v>1</v>
      </c>
      <c r="E5" s="16" t="n">
        <v>56.9</v>
      </c>
      <c r="F5" s="15" t="n">
        <v>44.7</v>
      </c>
      <c r="G5" s="15" t="n">
        <v>0.47</v>
      </c>
      <c r="H5" s="15" t="n">
        <v>41.5</v>
      </c>
      <c r="I5" s="15" t="n">
        <v>36.7</v>
      </c>
    </row>
    <row r="6">
      <c r="A6" t="inlineStr">
        <is>
          <t>Colgate</t>
        </is>
      </c>
      <c r="B6" s="10" t="n">
        <v>56334</v>
      </c>
      <c r="C6" s="15" t="n">
        <v>2072</v>
      </c>
      <c r="D6" s="15" t="n">
        <v>1</v>
      </c>
      <c r="E6" s="16" t="n">
        <v>41.9</v>
      </c>
      <c r="F6" s="15" t="n">
        <v>58.2</v>
      </c>
      <c r="G6" s="15" t="n">
        <v>2.46</v>
      </c>
      <c r="H6" s="15" t="n">
        <v>108</v>
      </c>
      <c r="I6" s="15" t="n">
        <v>82.7</v>
      </c>
    </row>
    <row r="7">
      <c r="A7" t="inlineStr">
        <is>
          <t>Nestle</t>
        </is>
      </c>
      <c r="B7" s="10" t="n">
        <v>279940</v>
      </c>
      <c r="C7" s="15" t="n">
        <v>1454</v>
      </c>
      <c r="D7" s="15" t="n">
        <v>1</v>
      </c>
      <c r="E7" s="16" t="n">
        <v>81.2</v>
      </c>
      <c r="F7" s="15" t="n">
        <v>27.5</v>
      </c>
      <c r="G7" s="15" t="n">
        <v>0.83</v>
      </c>
      <c r="H7" s="15" t="n">
        <v>84.09999999999999</v>
      </c>
      <c r="I7" s="15" t="n">
        <v>73.2</v>
      </c>
    </row>
    <row r="8">
      <c r="A8" t="inlineStr">
        <is>
          <t>Godrej</t>
        </is>
      </c>
      <c r="B8" s="10" t="n">
        <v>106775</v>
      </c>
      <c r="C8" s="15" t="n">
        <v>1044</v>
      </c>
      <c r="D8" s="15" t="n">
        <v>1</v>
      </c>
      <c r="E8" s="16" t="n">
        <v>68.59999999999999</v>
      </c>
      <c r="F8" s="15" t="n">
        <v>76.7</v>
      </c>
      <c r="G8" s="15" t="n">
        <v>1.92</v>
      </c>
      <c r="H8" s="15" t="n">
        <v>20.9</v>
      </c>
      <c r="I8" s="15" t="n">
        <v>19.2</v>
      </c>
    </row>
    <row r="9">
      <c r="A9" t="inlineStr">
        <is>
          <t>Emami</t>
        </is>
      </c>
      <c r="B9" s="10" t="n">
        <v>18120</v>
      </c>
      <c r="C9" s="15" t="n">
        <v>415</v>
      </c>
      <c r="D9" s="15" t="n">
        <v>1</v>
      </c>
      <c r="E9" s="16" t="n">
        <v>21.3</v>
      </c>
      <c r="F9" s="15" t="n">
        <v>72.3</v>
      </c>
      <c r="G9" s="15" t="n">
        <v>2.41</v>
      </c>
      <c r="H9" s="15" t="n">
        <v>29.8</v>
      </c>
      <c r="I9" s="15" t="n">
        <v>28.3</v>
      </c>
    </row>
    <row r="10"/>
    <row r="11">
      <c r="A11" s="2" t="inlineStr">
        <is>
          <t>Screener.in snapshot, July 2026 (data/cleaned/market_snapshot.csv). MarketCap ₹ Cr; prices/face/book ₹ per share; yields &amp; returns in 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9" t="inlineStr">
        <is>
          <t>Company</t>
        </is>
      </c>
      <c r="B1" s="9" t="inlineStr">
        <is>
          <t>Year</t>
        </is>
      </c>
      <c r="C1" s="9" t="inlineStr">
        <is>
          <t>ROE</t>
        </is>
      </c>
      <c r="D1" s="9" t="inlineStr">
        <is>
          <t>ROA</t>
        </is>
      </c>
      <c r="E1" s="9" t="inlineStr">
        <is>
          <t>NetMargin</t>
        </is>
      </c>
      <c r="F1" s="9" t="inlineStr">
        <is>
          <t>EBITMargin</t>
        </is>
      </c>
      <c r="G1" s="9" t="inlineStr">
        <is>
          <t>AssetTurnover</t>
        </is>
      </c>
      <c r="H1" s="9" t="inlineStr">
        <is>
          <t>EquityMultiplier</t>
        </is>
      </c>
      <c r="I1" s="9" t="inlineStr">
        <is>
          <t>DebtToEquity</t>
        </is>
      </c>
      <c r="J1" s="9" t="inlineStr">
        <is>
          <t>DebtRatio</t>
        </is>
      </c>
      <c r="K1" s="9" t="inlineStr">
        <is>
          <t>InterestCoverage</t>
        </is>
      </c>
      <c r="L1" s="9" t="inlineStr">
        <is>
          <t>CurrentRatio</t>
        </is>
      </c>
      <c r="N1" s="17" t="inlineStr">
        <is>
          <t>ROE trend</t>
        </is>
      </c>
    </row>
    <row r="2">
      <c r="A2">
        <f>'Raw Data'!A2</f>
        <v/>
      </c>
      <c r="B2">
        <f>'Raw Data'!B2</f>
        <v/>
      </c>
      <c r="C2" s="12">
        <f>'Raw Data'!J2/'Raw Data'!Y2</f>
        <v/>
      </c>
      <c r="D2" s="12">
        <f>'Raw Data'!J2/'Raw Data'!N2</f>
        <v/>
      </c>
      <c r="E2" s="12">
        <f>'Raw Data'!J2/'Raw Data'!C2</f>
        <v/>
      </c>
      <c r="F2" s="12">
        <f>'Raw Data'!W2/'Raw Data'!C2</f>
        <v/>
      </c>
      <c r="G2" s="18">
        <f>'Raw Data'!C2/'Raw Data'!N2</f>
        <v/>
      </c>
      <c r="H2" s="18">
        <f>'Raw Data'!N2/'Raw Data'!Y2</f>
        <v/>
      </c>
      <c r="I2" s="18">
        <f>'Raw Data'!M2/'Raw Data'!Y2</f>
        <v/>
      </c>
      <c r="J2" s="18">
        <f>'Raw Data'!M2/'Raw Data'!N2</f>
        <v/>
      </c>
      <c r="K2" s="18">
        <f>IF('Raw Data'!F2=0,NA(),'Raw Data'!W2/'Raw Data'!F2)</f>
        <v/>
      </c>
      <c r="L2" s="18">
        <f>'Raw Data'!Z2/'Raw Data'!AA2</f>
        <v/>
      </c>
      <c r="O2" s="4">
        <f>'Raw Data'!A2</f>
        <v/>
      </c>
      <c r="P2" s="4">
        <f>'Raw Data'!A7</f>
        <v/>
      </c>
      <c r="Q2" s="4">
        <f>'Raw Data'!A12</f>
        <v/>
      </c>
      <c r="R2" s="4">
        <f>'Raw Data'!A17</f>
        <v/>
      </c>
      <c r="S2" s="4">
        <f>'Raw Data'!A22</f>
        <v/>
      </c>
      <c r="T2" s="4">
        <f>'Raw Data'!A27</f>
        <v/>
      </c>
      <c r="U2" s="4">
        <f>'Raw Data'!A32</f>
        <v/>
      </c>
      <c r="V2" s="4">
        <f>'Raw Data'!A37</f>
        <v/>
      </c>
    </row>
    <row r="3">
      <c r="A3">
        <f>'Raw Data'!A3</f>
        <v/>
      </c>
      <c r="B3">
        <f>'Raw Data'!B3</f>
        <v/>
      </c>
      <c r="C3" s="12">
        <f>'Raw Data'!J3/'Raw Data'!Y3</f>
        <v/>
      </c>
      <c r="D3" s="12">
        <f>'Raw Data'!J3/'Raw Data'!N3</f>
        <v/>
      </c>
      <c r="E3" s="12">
        <f>'Raw Data'!J3/'Raw Data'!C3</f>
        <v/>
      </c>
      <c r="F3" s="12">
        <f>'Raw Data'!W3/'Raw Data'!C3</f>
        <v/>
      </c>
      <c r="G3" s="18">
        <f>'Raw Data'!C3/'Raw Data'!N3</f>
        <v/>
      </c>
      <c r="H3" s="18">
        <f>'Raw Data'!N3/'Raw Data'!Y3</f>
        <v/>
      </c>
      <c r="I3" s="18">
        <f>'Raw Data'!M3/'Raw Data'!Y3</f>
        <v/>
      </c>
      <c r="J3" s="18">
        <f>'Raw Data'!M3/'Raw Data'!N3</f>
        <v/>
      </c>
      <c r="K3" s="18">
        <f>IF('Raw Data'!F3=0,NA(),'Raw Data'!W3/'Raw Data'!F3)</f>
        <v/>
      </c>
      <c r="L3" s="18">
        <f>'Raw Data'!Z3/'Raw Data'!AA3</f>
        <v/>
      </c>
      <c r="N3" s="4" t="inlineStr">
        <is>
          <t>FY2022</t>
        </is>
      </c>
      <c r="O3" s="12">
        <f>C2</f>
        <v/>
      </c>
      <c r="P3" s="12">
        <f>C7</f>
        <v/>
      </c>
      <c r="Q3" s="12">
        <f>C12</f>
        <v/>
      </c>
      <c r="R3" s="12">
        <f>C17</f>
        <v/>
      </c>
      <c r="S3" s="12">
        <f>C22</f>
        <v/>
      </c>
      <c r="T3" s="12">
        <f>C27</f>
        <v/>
      </c>
      <c r="U3" s="12">
        <f>C32</f>
        <v/>
      </c>
      <c r="V3" s="12">
        <f>C37</f>
        <v/>
      </c>
    </row>
    <row r="4">
      <c r="A4">
        <f>'Raw Data'!A4</f>
        <v/>
      </c>
      <c r="B4">
        <f>'Raw Data'!B4</f>
        <v/>
      </c>
      <c r="C4" s="12">
        <f>'Raw Data'!J4/'Raw Data'!Y4</f>
        <v/>
      </c>
      <c r="D4" s="12">
        <f>'Raw Data'!J4/'Raw Data'!N4</f>
        <v/>
      </c>
      <c r="E4" s="12">
        <f>'Raw Data'!J4/'Raw Data'!C4</f>
        <v/>
      </c>
      <c r="F4" s="12">
        <f>'Raw Data'!W4/'Raw Data'!C4</f>
        <v/>
      </c>
      <c r="G4" s="18">
        <f>'Raw Data'!C4/'Raw Data'!N4</f>
        <v/>
      </c>
      <c r="H4" s="18">
        <f>'Raw Data'!N4/'Raw Data'!Y4</f>
        <v/>
      </c>
      <c r="I4" s="18">
        <f>'Raw Data'!M4/'Raw Data'!Y4</f>
        <v/>
      </c>
      <c r="J4" s="18">
        <f>'Raw Data'!M4/'Raw Data'!N4</f>
        <v/>
      </c>
      <c r="K4" s="18">
        <f>IF('Raw Data'!F4=0,NA(),'Raw Data'!W4/'Raw Data'!F4)</f>
        <v/>
      </c>
      <c r="L4" s="18">
        <f>'Raw Data'!Z4/'Raw Data'!AA4</f>
        <v/>
      </c>
      <c r="N4" s="4" t="inlineStr">
        <is>
          <t>FY2023</t>
        </is>
      </c>
      <c r="O4" s="12">
        <f>C3</f>
        <v/>
      </c>
      <c r="P4" s="12">
        <f>C8</f>
        <v/>
      </c>
      <c r="Q4" s="12">
        <f>C13</f>
        <v/>
      </c>
      <c r="R4" s="12">
        <f>C18</f>
        <v/>
      </c>
      <c r="S4" s="12">
        <f>C23</f>
        <v/>
      </c>
      <c r="T4" s="12">
        <f>C28</f>
        <v/>
      </c>
      <c r="U4" s="12">
        <f>C33</f>
        <v/>
      </c>
      <c r="V4" s="12">
        <f>C38</f>
        <v/>
      </c>
    </row>
    <row r="5">
      <c r="A5">
        <f>'Raw Data'!A5</f>
        <v/>
      </c>
      <c r="B5">
        <f>'Raw Data'!B5</f>
        <v/>
      </c>
      <c r="C5" s="12">
        <f>'Raw Data'!J5/'Raw Data'!Y5</f>
        <v/>
      </c>
      <c r="D5" s="12">
        <f>'Raw Data'!J5/'Raw Data'!N5</f>
        <v/>
      </c>
      <c r="E5" s="12">
        <f>'Raw Data'!J5/'Raw Data'!C5</f>
        <v/>
      </c>
      <c r="F5" s="12">
        <f>'Raw Data'!W5/'Raw Data'!C5</f>
        <v/>
      </c>
      <c r="G5" s="18">
        <f>'Raw Data'!C5/'Raw Data'!N5</f>
        <v/>
      </c>
      <c r="H5" s="18">
        <f>'Raw Data'!N5/'Raw Data'!Y5</f>
        <v/>
      </c>
      <c r="I5" s="18">
        <f>'Raw Data'!M5/'Raw Data'!Y5</f>
        <v/>
      </c>
      <c r="J5" s="18">
        <f>'Raw Data'!M5/'Raw Data'!N5</f>
        <v/>
      </c>
      <c r="K5" s="18">
        <f>IF('Raw Data'!F5=0,NA(),'Raw Data'!W5/'Raw Data'!F5)</f>
        <v/>
      </c>
      <c r="L5" s="18">
        <f>'Raw Data'!Z5/'Raw Data'!AA5</f>
        <v/>
      </c>
      <c r="N5" s="4" t="inlineStr">
        <is>
          <t>FY2024</t>
        </is>
      </c>
      <c r="O5" s="12">
        <f>C4</f>
        <v/>
      </c>
      <c r="P5" s="12">
        <f>C9</f>
        <v/>
      </c>
      <c r="Q5" s="12">
        <f>C14</f>
        <v/>
      </c>
      <c r="R5" s="12">
        <f>C19</f>
        <v/>
      </c>
      <c r="S5" s="12">
        <f>C24</f>
        <v/>
      </c>
      <c r="T5" s="12">
        <f>C29</f>
        <v/>
      </c>
      <c r="U5" s="12">
        <f>C34</f>
        <v/>
      </c>
      <c r="V5" s="12">
        <f>C39</f>
        <v/>
      </c>
    </row>
    <row r="6">
      <c r="A6">
        <f>'Raw Data'!A6</f>
        <v/>
      </c>
      <c r="B6">
        <f>'Raw Data'!B6</f>
        <v/>
      </c>
      <c r="C6" s="12">
        <f>'Raw Data'!J6/'Raw Data'!Y6</f>
        <v/>
      </c>
      <c r="D6" s="12">
        <f>'Raw Data'!J6/'Raw Data'!N6</f>
        <v/>
      </c>
      <c r="E6" s="12">
        <f>'Raw Data'!J6/'Raw Data'!C6</f>
        <v/>
      </c>
      <c r="F6" s="12">
        <f>'Raw Data'!W6/'Raw Data'!C6</f>
        <v/>
      </c>
      <c r="G6" s="18">
        <f>'Raw Data'!C6/'Raw Data'!N6</f>
        <v/>
      </c>
      <c r="H6" s="18">
        <f>'Raw Data'!N6/'Raw Data'!Y6</f>
        <v/>
      </c>
      <c r="I6" s="18">
        <f>'Raw Data'!M6/'Raw Data'!Y6</f>
        <v/>
      </c>
      <c r="J6" s="18">
        <f>'Raw Data'!M6/'Raw Data'!N6</f>
        <v/>
      </c>
      <c r="K6" s="18">
        <f>IF('Raw Data'!F6=0,NA(),'Raw Data'!W6/'Raw Data'!F6)</f>
        <v/>
      </c>
      <c r="L6" s="18">
        <f>'Raw Data'!Z6/'Raw Data'!AA6</f>
        <v/>
      </c>
      <c r="N6" s="4" t="inlineStr">
        <is>
          <t>FY2025</t>
        </is>
      </c>
      <c r="O6" s="12">
        <f>C5</f>
        <v/>
      </c>
      <c r="P6" s="12">
        <f>C10</f>
        <v/>
      </c>
      <c r="Q6" s="12">
        <f>C15</f>
        <v/>
      </c>
      <c r="R6" s="12">
        <f>C20</f>
        <v/>
      </c>
      <c r="S6" s="12">
        <f>C25</f>
        <v/>
      </c>
      <c r="T6" s="12">
        <f>C30</f>
        <v/>
      </c>
      <c r="U6" s="12">
        <f>C35</f>
        <v/>
      </c>
      <c r="V6" s="12">
        <f>C40</f>
        <v/>
      </c>
    </row>
    <row r="7">
      <c r="A7">
        <f>'Raw Data'!A7</f>
        <v/>
      </c>
      <c r="B7">
        <f>'Raw Data'!B7</f>
        <v/>
      </c>
      <c r="C7" s="12">
        <f>'Raw Data'!J7/'Raw Data'!Y7</f>
        <v/>
      </c>
      <c r="D7" s="12">
        <f>'Raw Data'!J7/'Raw Data'!N7</f>
        <v/>
      </c>
      <c r="E7" s="12">
        <f>'Raw Data'!J7/'Raw Data'!C7</f>
        <v/>
      </c>
      <c r="F7" s="12">
        <f>'Raw Data'!W7/'Raw Data'!C7</f>
        <v/>
      </c>
      <c r="G7" s="18">
        <f>'Raw Data'!C7/'Raw Data'!N7</f>
        <v/>
      </c>
      <c r="H7" s="18">
        <f>'Raw Data'!N7/'Raw Data'!Y7</f>
        <v/>
      </c>
      <c r="I7" s="18">
        <f>'Raw Data'!M7/'Raw Data'!Y7</f>
        <v/>
      </c>
      <c r="J7" s="18">
        <f>'Raw Data'!M7/'Raw Data'!N7</f>
        <v/>
      </c>
      <c r="K7" s="18">
        <f>IF('Raw Data'!F7=0,NA(),'Raw Data'!W7/'Raw Data'!F7)</f>
        <v/>
      </c>
      <c r="L7" s="18">
        <f>'Raw Data'!Z7/'Raw Data'!AA7</f>
        <v/>
      </c>
      <c r="N7" s="4" t="inlineStr">
        <is>
          <t>FY2026</t>
        </is>
      </c>
      <c r="O7" s="12">
        <f>C6</f>
        <v/>
      </c>
      <c r="P7" s="12">
        <f>C11</f>
        <v/>
      </c>
      <c r="Q7" s="12">
        <f>C16</f>
        <v/>
      </c>
      <c r="R7" s="12">
        <f>C21</f>
        <v/>
      </c>
      <c r="S7" s="12">
        <f>C26</f>
        <v/>
      </c>
      <c r="T7" s="12">
        <f>C31</f>
        <v/>
      </c>
      <c r="U7" s="12">
        <f>C36</f>
        <v/>
      </c>
      <c r="V7" s="12">
        <f>C41</f>
        <v/>
      </c>
    </row>
    <row r="8">
      <c r="A8">
        <f>'Raw Data'!A8</f>
        <v/>
      </c>
      <c r="B8">
        <f>'Raw Data'!B8</f>
        <v/>
      </c>
      <c r="C8" s="12">
        <f>'Raw Data'!J8/'Raw Data'!Y8</f>
        <v/>
      </c>
      <c r="D8" s="12">
        <f>'Raw Data'!J8/'Raw Data'!N8</f>
        <v/>
      </c>
      <c r="E8" s="12">
        <f>'Raw Data'!J8/'Raw Data'!C8</f>
        <v/>
      </c>
      <c r="F8" s="12">
        <f>'Raw Data'!W8/'Raw Data'!C8</f>
        <v/>
      </c>
      <c r="G8" s="18">
        <f>'Raw Data'!C8/'Raw Data'!N8</f>
        <v/>
      </c>
      <c r="H8" s="18">
        <f>'Raw Data'!N8/'Raw Data'!Y8</f>
        <v/>
      </c>
      <c r="I8" s="18">
        <f>'Raw Data'!M8/'Raw Data'!Y8</f>
        <v/>
      </c>
      <c r="J8" s="18">
        <f>'Raw Data'!M8/'Raw Data'!N8</f>
        <v/>
      </c>
      <c r="K8" s="18">
        <f>IF('Raw Data'!F8=0,NA(),'Raw Data'!W8/'Raw Data'!F8)</f>
        <v/>
      </c>
      <c r="L8" s="18">
        <f>'Raw Data'!Z8/'Raw Data'!AA8</f>
        <v/>
      </c>
    </row>
    <row r="9">
      <c r="A9">
        <f>'Raw Data'!A9</f>
        <v/>
      </c>
      <c r="B9">
        <f>'Raw Data'!B9</f>
        <v/>
      </c>
      <c r="C9" s="12">
        <f>'Raw Data'!J9/'Raw Data'!Y9</f>
        <v/>
      </c>
      <c r="D9" s="12">
        <f>'Raw Data'!J9/'Raw Data'!N9</f>
        <v/>
      </c>
      <c r="E9" s="12">
        <f>'Raw Data'!J9/'Raw Data'!C9</f>
        <v/>
      </c>
      <c r="F9" s="12">
        <f>'Raw Data'!W9/'Raw Data'!C9</f>
        <v/>
      </c>
      <c r="G9" s="18">
        <f>'Raw Data'!C9/'Raw Data'!N9</f>
        <v/>
      </c>
      <c r="H9" s="18">
        <f>'Raw Data'!N9/'Raw Data'!Y9</f>
        <v/>
      </c>
      <c r="I9" s="18">
        <f>'Raw Data'!M9/'Raw Data'!Y9</f>
        <v/>
      </c>
      <c r="J9" s="18">
        <f>'Raw Data'!M9/'Raw Data'!N9</f>
        <v/>
      </c>
      <c r="K9" s="18">
        <f>IF('Raw Data'!F9=0,NA(),'Raw Data'!W9/'Raw Data'!F9)</f>
        <v/>
      </c>
      <c r="L9" s="18">
        <f>'Raw Data'!Z9/'Raw Data'!AA9</f>
        <v/>
      </c>
    </row>
    <row r="10">
      <c r="A10">
        <f>'Raw Data'!A10</f>
        <v/>
      </c>
      <c r="B10">
        <f>'Raw Data'!B10</f>
        <v/>
      </c>
      <c r="C10" s="12">
        <f>'Raw Data'!J10/'Raw Data'!Y10</f>
        <v/>
      </c>
      <c r="D10" s="12">
        <f>'Raw Data'!J10/'Raw Data'!N10</f>
        <v/>
      </c>
      <c r="E10" s="12">
        <f>'Raw Data'!J10/'Raw Data'!C10</f>
        <v/>
      </c>
      <c r="F10" s="12">
        <f>'Raw Data'!W10/'Raw Data'!C10</f>
        <v/>
      </c>
      <c r="G10" s="18">
        <f>'Raw Data'!C10/'Raw Data'!N10</f>
        <v/>
      </c>
      <c r="H10" s="18">
        <f>'Raw Data'!N10/'Raw Data'!Y10</f>
        <v/>
      </c>
      <c r="I10" s="18">
        <f>'Raw Data'!M10/'Raw Data'!Y10</f>
        <v/>
      </c>
      <c r="J10" s="18">
        <f>'Raw Data'!M10/'Raw Data'!N10</f>
        <v/>
      </c>
      <c r="K10" s="18">
        <f>IF('Raw Data'!F10=0,NA(),'Raw Data'!W10/'Raw Data'!F10)</f>
        <v/>
      </c>
      <c r="L10" s="18">
        <f>'Raw Data'!Z10/'Raw Data'!AA10</f>
        <v/>
      </c>
    </row>
    <row r="11">
      <c r="A11">
        <f>'Raw Data'!A11</f>
        <v/>
      </c>
      <c r="B11">
        <f>'Raw Data'!B11</f>
        <v/>
      </c>
      <c r="C11" s="12">
        <f>'Raw Data'!J11/'Raw Data'!Y11</f>
        <v/>
      </c>
      <c r="D11" s="12">
        <f>'Raw Data'!J11/'Raw Data'!N11</f>
        <v/>
      </c>
      <c r="E11" s="12">
        <f>'Raw Data'!J11/'Raw Data'!C11</f>
        <v/>
      </c>
      <c r="F11" s="12">
        <f>'Raw Data'!W11/'Raw Data'!C11</f>
        <v/>
      </c>
      <c r="G11" s="18">
        <f>'Raw Data'!C11/'Raw Data'!N11</f>
        <v/>
      </c>
      <c r="H11" s="18">
        <f>'Raw Data'!N11/'Raw Data'!Y11</f>
        <v/>
      </c>
      <c r="I11" s="18">
        <f>'Raw Data'!M11/'Raw Data'!Y11</f>
        <v/>
      </c>
      <c r="J11" s="18">
        <f>'Raw Data'!M11/'Raw Data'!N11</f>
        <v/>
      </c>
      <c r="K11" s="18">
        <f>IF('Raw Data'!F11=0,NA(),'Raw Data'!W11/'Raw Data'!F11)</f>
        <v/>
      </c>
      <c r="L11" s="18">
        <f>'Raw Data'!Z11/'Raw Data'!AA11</f>
        <v/>
      </c>
    </row>
    <row r="12">
      <c r="A12">
        <f>'Raw Data'!A12</f>
        <v/>
      </c>
      <c r="B12">
        <f>'Raw Data'!B12</f>
        <v/>
      </c>
      <c r="C12" s="12">
        <f>'Raw Data'!J12/'Raw Data'!Y12</f>
        <v/>
      </c>
      <c r="D12" s="12">
        <f>'Raw Data'!J12/'Raw Data'!N12</f>
        <v/>
      </c>
      <c r="E12" s="12">
        <f>'Raw Data'!J12/'Raw Data'!C12</f>
        <v/>
      </c>
      <c r="F12" s="12">
        <f>'Raw Data'!W12/'Raw Data'!C12</f>
        <v/>
      </c>
      <c r="G12" s="18">
        <f>'Raw Data'!C12/'Raw Data'!N12</f>
        <v/>
      </c>
      <c r="H12" s="18">
        <f>'Raw Data'!N12/'Raw Data'!Y12</f>
        <v/>
      </c>
      <c r="I12" s="18">
        <f>'Raw Data'!M12/'Raw Data'!Y12</f>
        <v/>
      </c>
      <c r="J12" s="18">
        <f>'Raw Data'!M12/'Raw Data'!N12</f>
        <v/>
      </c>
      <c r="K12" s="18">
        <f>IF('Raw Data'!F12=0,NA(),'Raw Data'!W12/'Raw Data'!F12)</f>
        <v/>
      </c>
      <c r="L12" s="18">
        <f>'Raw Data'!Z12/'Raw Data'!AA12</f>
        <v/>
      </c>
    </row>
    <row r="13">
      <c r="A13">
        <f>'Raw Data'!A13</f>
        <v/>
      </c>
      <c r="B13">
        <f>'Raw Data'!B13</f>
        <v/>
      </c>
      <c r="C13" s="12">
        <f>'Raw Data'!J13/'Raw Data'!Y13</f>
        <v/>
      </c>
      <c r="D13" s="12">
        <f>'Raw Data'!J13/'Raw Data'!N13</f>
        <v/>
      </c>
      <c r="E13" s="12">
        <f>'Raw Data'!J13/'Raw Data'!C13</f>
        <v/>
      </c>
      <c r="F13" s="12">
        <f>'Raw Data'!W13/'Raw Data'!C13</f>
        <v/>
      </c>
      <c r="G13" s="18">
        <f>'Raw Data'!C13/'Raw Data'!N13</f>
        <v/>
      </c>
      <c r="H13" s="18">
        <f>'Raw Data'!N13/'Raw Data'!Y13</f>
        <v/>
      </c>
      <c r="I13" s="18">
        <f>'Raw Data'!M13/'Raw Data'!Y13</f>
        <v/>
      </c>
      <c r="J13" s="18">
        <f>'Raw Data'!M13/'Raw Data'!N13</f>
        <v/>
      </c>
      <c r="K13" s="18">
        <f>IF('Raw Data'!F13=0,NA(),'Raw Data'!W13/'Raw Data'!F13)</f>
        <v/>
      </c>
      <c r="L13" s="18">
        <f>'Raw Data'!Z13/'Raw Data'!AA13</f>
        <v/>
      </c>
    </row>
    <row r="14">
      <c r="A14">
        <f>'Raw Data'!A14</f>
        <v/>
      </c>
      <c r="B14">
        <f>'Raw Data'!B14</f>
        <v/>
      </c>
      <c r="C14" s="12">
        <f>'Raw Data'!J14/'Raw Data'!Y14</f>
        <v/>
      </c>
      <c r="D14" s="12">
        <f>'Raw Data'!J14/'Raw Data'!N14</f>
        <v/>
      </c>
      <c r="E14" s="12">
        <f>'Raw Data'!J14/'Raw Data'!C14</f>
        <v/>
      </c>
      <c r="F14" s="12">
        <f>'Raw Data'!W14/'Raw Data'!C14</f>
        <v/>
      </c>
      <c r="G14" s="18">
        <f>'Raw Data'!C14/'Raw Data'!N14</f>
        <v/>
      </c>
      <c r="H14" s="18">
        <f>'Raw Data'!N14/'Raw Data'!Y14</f>
        <v/>
      </c>
      <c r="I14" s="18">
        <f>'Raw Data'!M14/'Raw Data'!Y14</f>
        <v/>
      </c>
      <c r="J14" s="18">
        <f>'Raw Data'!M14/'Raw Data'!N14</f>
        <v/>
      </c>
      <c r="K14" s="18">
        <f>IF('Raw Data'!F14=0,NA(),'Raw Data'!W14/'Raw Data'!F14)</f>
        <v/>
      </c>
      <c r="L14" s="18">
        <f>'Raw Data'!Z14/'Raw Data'!AA14</f>
        <v/>
      </c>
    </row>
    <row r="15">
      <c r="A15">
        <f>'Raw Data'!A15</f>
        <v/>
      </c>
      <c r="B15">
        <f>'Raw Data'!B15</f>
        <v/>
      </c>
      <c r="C15" s="12">
        <f>'Raw Data'!J15/'Raw Data'!Y15</f>
        <v/>
      </c>
      <c r="D15" s="12">
        <f>'Raw Data'!J15/'Raw Data'!N15</f>
        <v/>
      </c>
      <c r="E15" s="12">
        <f>'Raw Data'!J15/'Raw Data'!C15</f>
        <v/>
      </c>
      <c r="F15" s="12">
        <f>'Raw Data'!W15/'Raw Data'!C15</f>
        <v/>
      </c>
      <c r="G15" s="18">
        <f>'Raw Data'!C15/'Raw Data'!N15</f>
        <v/>
      </c>
      <c r="H15" s="18">
        <f>'Raw Data'!N15/'Raw Data'!Y15</f>
        <v/>
      </c>
      <c r="I15" s="18">
        <f>'Raw Data'!M15/'Raw Data'!Y15</f>
        <v/>
      </c>
      <c r="J15" s="18">
        <f>'Raw Data'!M15/'Raw Data'!N15</f>
        <v/>
      </c>
      <c r="K15" s="18">
        <f>IF('Raw Data'!F15=0,NA(),'Raw Data'!W15/'Raw Data'!F15)</f>
        <v/>
      </c>
      <c r="L15" s="18">
        <f>'Raw Data'!Z15/'Raw Data'!AA15</f>
        <v/>
      </c>
    </row>
    <row r="16">
      <c r="A16">
        <f>'Raw Data'!A16</f>
        <v/>
      </c>
      <c r="B16">
        <f>'Raw Data'!B16</f>
        <v/>
      </c>
      <c r="C16" s="12">
        <f>'Raw Data'!J16/'Raw Data'!Y16</f>
        <v/>
      </c>
      <c r="D16" s="12">
        <f>'Raw Data'!J16/'Raw Data'!N16</f>
        <v/>
      </c>
      <c r="E16" s="12">
        <f>'Raw Data'!J16/'Raw Data'!C16</f>
        <v/>
      </c>
      <c r="F16" s="12">
        <f>'Raw Data'!W16/'Raw Data'!C16</f>
        <v/>
      </c>
      <c r="G16" s="18">
        <f>'Raw Data'!C16/'Raw Data'!N16</f>
        <v/>
      </c>
      <c r="H16" s="18">
        <f>'Raw Data'!N16/'Raw Data'!Y16</f>
        <v/>
      </c>
      <c r="I16" s="18">
        <f>'Raw Data'!M16/'Raw Data'!Y16</f>
        <v/>
      </c>
      <c r="J16" s="18">
        <f>'Raw Data'!M16/'Raw Data'!N16</f>
        <v/>
      </c>
      <c r="K16" s="18">
        <f>IF('Raw Data'!F16=0,NA(),'Raw Data'!W16/'Raw Data'!F16)</f>
        <v/>
      </c>
      <c r="L16" s="18">
        <f>'Raw Data'!Z16/'Raw Data'!AA16</f>
        <v/>
      </c>
    </row>
    <row r="17">
      <c r="A17">
        <f>'Raw Data'!A17</f>
        <v/>
      </c>
      <c r="B17">
        <f>'Raw Data'!B17</f>
        <v/>
      </c>
      <c r="C17" s="12">
        <f>'Raw Data'!J17/'Raw Data'!Y17</f>
        <v/>
      </c>
      <c r="D17" s="12">
        <f>'Raw Data'!J17/'Raw Data'!N17</f>
        <v/>
      </c>
      <c r="E17" s="12">
        <f>'Raw Data'!J17/'Raw Data'!C17</f>
        <v/>
      </c>
      <c r="F17" s="12">
        <f>'Raw Data'!W17/'Raw Data'!C17</f>
        <v/>
      </c>
      <c r="G17" s="18">
        <f>'Raw Data'!C17/'Raw Data'!N17</f>
        <v/>
      </c>
      <c r="H17" s="18">
        <f>'Raw Data'!N17/'Raw Data'!Y17</f>
        <v/>
      </c>
      <c r="I17" s="18">
        <f>'Raw Data'!M17/'Raw Data'!Y17</f>
        <v/>
      </c>
      <c r="J17" s="18">
        <f>'Raw Data'!M17/'Raw Data'!N17</f>
        <v/>
      </c>
      <c r="K17" s="18">
        <f>IF('Raw Data'!F17=0,NA(),'Raw Data'!W17/'Raw Data'!F17)</f>
        <v/>
      </c>
      <c r="L17" s="18">
        <f>'Raw Data'!Z17/'Raw Data'!AA17</f>
        <v/>
      </c>
    </row>
    <row r="18">
      <c r="A18">
        <f>'Raw Data'!A18</f>
        <v/>
      </c>
      <c r="B18">
        <f>'Raw Data'!B18</f>
        <v/>
      </c>
      <c r="C18" s="12">
        <f>'Raw Data'!J18/'Raw Data'!Y18</f>
        <v/>
      </c>
      <c r="D18" s="12">
        <f>'Raw Data'!J18/'Raw Data'!N18</f>
        <v/>
      </c>
      <c r="E18" s="12">
        <f>'Raw Data'!J18/'Raw Data'!C18</f>
        <v/>
      </c>
      <c r="F18" s="12">
        <f>'Raw Data'!W18/'Raw Data'!C18</f>
        <v/>
      </c>
      <c r="G18" s="18">
        <f>'Raw Data'!C18/'Raw Data'!N18</f>
        <v/>
      </c>
      <c r="H18" s="18">
        <f>'Raw Data'!N18/'Raw Data'!Y18</f>
        <v/>
      </c>
      <c r="I18" s="18">
        <f>'Raw Data'!M18/'Raw Data'!Y18</f>
        <v/>
      </c>
      <c r="J18" s="18">
        <f>'Raw Data'!M18/'Raw Data'!N18</f>
        <v/>
      </c>
      <c r="K18" s="18">
        <f>IF('Raw Data'!F18=0,NA(),'Raw Data'!W18/'Raw Data'!F18)</f>
        <v/>
      </c>
      <c r="L18" s="18">
        <f>'Raw Data'!Z18/'Raw Data'!AA18</f>
        <v/>
      </c>
    </row>
    <row r="19">
      <c r="A19">
        <f>'Raw Data'!A19</f>
        <v/>
      </c>
      <c r="B19">
        <f>'Raw Data'!B19</f>
        <v/>
      </c>
      <c r="C19" s="12">
        <f>'Raw Data'!J19/'Raw Data'!Y19</f>
        <v/>
      </c>
      <c r="D19" s="12">
        <f>'Raw Data'!J19/'Raw Data'!N19</f>
        <v/>
      </c>
      <c r="E19" s="12">
        <f>'Raw Data'!J19/'Raw Data'!C19</f>
        <v/>
      </c>
      <c r="F19" s="12">
        <f>'Raw Data'!W19/'Raw Data'!C19</f>
        <v/>
      </c>
      <c r="G19" s="18">
        <f>'Raw Data'!C19/'Raw Data'!N19</f>
        <v/>
      </c>
      <c r="H19" s="18">
        <f>'Raw Data'!N19/'Raw Data'!Y19</f>
        <v/>
      </c>
      <c r="I19" s="18">
        <f>'Raw Data'!M19/'Raw Data'!Y19</f>
        <v/>
      </c>
      <c r="J19" s="18">
        <f>'Raw Data'!M19/'Raw Data'!N19</f>
        <v/>
      </c>
      <c r="K19" s="18">
        <f>IF('Raw Data'!F19=0,NA(),'Raw Data'!W19/'Raw Data'!F19)</f>
        <v/>
      </c>
      <c r="L19" s="18">
        <f>'Raw Data'!Z19/'Raw Data'!AA19</f>
        <v/>
      </c>
    </row>
    <row r="20">
      <c r="A20">
        <f>'Raw Data'!A20</f>
        <v/>
      </c>
      <c r="B20">
        <f>'Raw Data'!B20</f>
        <v/>
      </c>
      <c r="C20" s="12">
        <f>'Raw Data'!J20/'Raw Data'!Y20</f>
        <v/>
      </c>
      <c r="D20" s="12">
        <f>'Raw Data'!J20/'Raw Data'!N20</f>
        <v/>
      </c>
      <c r="E20" s="12">
        <f>'Raw Data'!J20/'Raw Data'!C20</f>
        <v/>
      </c>
      <c r="F20" s="12">
        <f>'Raw Data'!W20/'Raw Data'!C20</f>
        <v/>
      </c>
      <c r="G20" s="18">
        <f>'Raw Data'!C20/'Raw Data'!N20</f>
        <v/>
      </c>
      <c r="H20" s="18">
        <f>'Raw Data'!N20/'Raw Data'!Y20</f>
        <v/>
      </c>
      <c r="I20" s="18">
        <f>'Raw Data'!M20/'Raw Data'!Y20</f>
        <v/>
      </c>
      <c r="J20" s="18">
        <f>'Raw Data'!M20/'Raw Data'!N20</f>
        <v/>
      </c>
      <c r="K20" s="18">
        <f>IF('Raw Data'!F20=0,NA(),'Raw Data'!W20/'Raw Data'!F20)</f>
        <v/>
      </c>
      <c r="L20" s="18">
        <f>'Raw Data'!Z20/'Raw Data'!AA20</f>
        <v/>
      </c>
    </row>
    <row r="21">
      <c r="A21">
        <f>'Raw Data'!A21</f>
        <v/>
      </c>
      <c r="B21">
        <f>'Raw Data'!B21</f>
        <v/>
      </c>
      <c r="C21" s="12">
        <f>'Raw Data'!J21/'Raw Data'!Y21</f>
        <v/>
      </c>
      <c r="D21" s="12">
        <f>'Raw Data'!J21/'Raw Data'!N21</f>
        <v/>
      </c>
      <c r="E21" s="12">
        <f>'Raw Data'!J21/'Raw Data'!C21</f>
        <v/>
      </c>
      <c r="F21" s="12">
        <f>'Raw Data'!W21/'Raw Data'!C21</f>
        <v/>
      </c>
      <c r="G21" s="18">
        <f>'Raw Data'!C21/'Raw Data'!N21</f>
        <v/>
      </c>
      <c r="H21" s="18">
        <f>'Raw Data'!N21/'Raw Data'!Y21</f>
        <v/>
      </c>
      <c r="I21" s="18">
        <f>'Raw Data'!M21/'Raw Data'!Y21</f>
        <v/>
      </c>
      <c r="J21" s="18">
        <f>'Raw Data'!M21/'Raw Data'!N21</f>
        <v/>
      </c>
      <c r="K21" s="18">
        <f>IF('Raw Data'!F21=0,NA(),'Raw Data'!W21/'Raw Data'!F21)</f>
        <v/>
      </c>
      <c r="L21" s="18">
        <f>'Raw Data'!Z21/'Raw Data'!AA21</f>
        <v/>
      </c>
    </row>
    <row r="22">
      <c r="A22">
        <f>'Raw Data'!A22</f>
        <v/>
      </c>
      <c r="B22">
        <f>'Raw Data'!B22</f>
        <v/>
      </c>
      <c r="C22" s="12">
        <f>'Raw Data'!J22/'Raw Data'!Y22</f>
        <v/>
      </c>
      <c r="D22" s="12">
        <f>'Raw Data'!J22/'Raw Data'!N22</f>
        <v/>
      </c>
      <c r="E22" s="12">
        <f>'Raw Data'!J22/'Raw Data'!C22</f>
        <v/>
      </c>
      <c r="F22" s="12">
        <f>'Raw Data'!W22/'Raw Data'!C22</f>
        <v/>
      </c>
      <c r="G22" s="18">
        <f>'Raw Data'!C22/'Raw Data'!N22</f>
        <v/>
      </c>
      <c r="H22" s="18">
        <f>'Raw Data'!N22/'Raw Data'!Y22</f>
        <v/>
      </c>
      <c r="I22" s="18">
        <f>'Raw Data'!M22/'Raw Data'!Y22</f>
        <v/>
      </c>
      <c r="J22" s="18">
        <f>'Raw Data'!M22/'Raw Data'!N22</f>
        <v/>
      </c>
      <c r="K22" s="18">
        <f>IF('Raw Data'!F22=0,NA(),'Raw Data'!W22/'Raw Data'!F22)</f>
        <v/>
      </c>
      <c r="L22" s="18">
        <f>'Raw Data'!Z22/'Raw Data'!AA22</f>
        <v/>
      </c>
    </row>
    <row r="23">
      <c r="A23">
        <f>'Raw Data'!A23</f>
        <v/>
      </c>
      <c r="B23">
        <f>'Raw Data'!B23</f>
        <v/>
      </c>
      <c r="C23" s="12">
        <f>'Raw Data'!J23/'Raw Data'!Y23</f>
        <v/>
      </c>
      <c r="D23" s="12">
        <f>'Raw Data'!J23/'Raw Data'!N23</f>
        <v/>
      </c>
      <c r="E23" s="12">
        <f>'Raw Data'!J23/'Raw Data'!C23</f>
        <v/>
      </c>
      <c r="F23" s="12">
        <f>'Raw Data'!W23/'Raw Data'!C23</f>
        <v/>
      </c>
      <c r="G23" s="18">
        <f>'Raw Data'!C23/'Raw Data'!N23</f>
        <v/>
      </c>
      <c r="H23" s="18">
        <f>'Raw Data'!N23/'Raw Data'!Y23</f>
        <v/>
      </c>
      <c r="I23" s="18">
        <f>'Raw Data'!M23/'Raw Data'!Y23</f>
        <v/>
      </c>
      <c r="J23" s="18">
        <f>'Raw Data'!M23/'Raw Data'!N23</f>
        <v/>
      </c>
      <c r="K23" s="18">
        <f>IF('Raw Data'!F23=0,NA(),'Raw Data'!W23/'Raw Data'!F23)</f>
        <v/>
      </c>
      <c r="L23" s="18">
        <f>'Raw Data'!Z23/'Raw Data'!AA23</f>
        <v/>
      </c>
    </row>
    <row r="24">
      <c r="A24">
        <f>'Raw Data'!A24</f>
        <v/>
      </c>
      <c r="B24">
        <f>'Raw Data'!B24</f>
        <v/>
      </c>
      <c r="C24" s="12">
        <f>'Raw Data'!J24/'Raw Data'!Y24</f>
        <v/>
      </c>
      <c r="D24" s="12">
        <f>'Raw Data'!J24/'Raw Data'!N24</f>
        <v/>
      </c>
      <c r="E24" s="12">
        <f>'Raw Data'!J24/'Raw Data'!C24</f>
        <v/>
      </c>
      <c r="F24" s="12">
        <f>'Raw Data'!W24/'Raw Data'!C24</f>
        <v/>
      </c>
      <c r="G24" s="18">
        <f>'Raw Data'!C24/'Raw Data'!N24</f>
        <v/>
      </c>
      <c r="H24" s="18">
        <f>'Raw Data'!N24/'Raw Data'!Y24</f>
        <v/>
      </c>
      <c r="I24" s="18">
        <f>'Raw Data'!M24/'Raw Data'!Y24</f>
        <v/>
      </c>
      <c r="J24" s="18">
        <f>'Raw Data'!M24/'Raw Data'!N24</f>
        <v/>
      </c>
      <c r="K24" s="18">
        <f>IF('Raw Data'!F24=0,NA(),'Raw Data'!W24/'Raw Data'!F24)</f>
        <v/>
      </c>
      <c r="L24" s="18">
        <f>'Raw Data'!Z24/'Raw Data'!AA24</f>
        <v/>
      </c>
    </row>
    <row r="25">
      <c r="A25">
        <f>'Raw Data'!A25</f>
        <v/>
      </c>
      <c r="B25">
        <f>'Raw Data'!B25</f>
        <v/>
      </c>
      <c r="C25" s="12">
        <f>'Raw Data'!J25/'Raw Data'!Y25</f>
        <v/>
      </c>
      <c r="D25" s="12">
        <f>'Raw Data'!J25/'Raw Data'!N25</f>
        <v/>
      </c>
      <c r="E25" s="12">
        <f>'Raw Data'!J25/'Raw Data'!C25</f>
        <v/>
      </c>
      <c r="F25" s="12">
        <f>'Raw Data'!W25/'Raw Data'!C25</f>
        <v/>
      </c>
      <c r="G25" s="18">
        <f>'Raw Data'!C25/'Raw Data'!N25</f>
        <v/>
      </c>
      <c r="H25" s="18">
        <f>'Raw Data'!N25/'Raw Data'!Y25</f>
        <v/>
      </c>
      <c r="I25" s="18">
        <f>'Raw Data'!M25/'Raw Data'!Y25</f>
        <v/>
      </c>
      <c r="J25" s="18">
        <f>'Raw Data'!M25/'Raw Data'!N25</f>
        <v/>
      </c>
      <c r="K25" s="18">
        <f>IF('Raw Data'!F25=0,NA(),'Raw Data'!W25/'Raw Data'!F25)</f>
        <v/>
      </c>
      <c r="L25" s="18">
        <f>'Raw Data'!Z25/'Raw Data'!AA25</f>
        <v/>
      </c>
    </row>
    <row r="26">
      <c r="A26">
        <f>'Raw Data'!A26</f>
        <v/>
      </c>
      <c r="B26">
        <f>'Raw Data'!B26</f>
        <v/>
      </c>
      <c r="C26" s="12">
        <f>'Raw Data'!J26/'Raw Data'!Y26</f>
        <v/>
      </c>
      <c r="D26" s="12">
        <f>'Raw Data'!J26/'Raw Data'!N26</f>
        <v/>
      </c>
      <c r="E26" s="12">
        <f>'Raw Data'!J26/'Raw Data'!C26</f>
        <v/>
      </c>
      <c r="F26" s="12">
        <f>'Raw Data'!W26/'Raw Data'!C26</f>
        <v/>
      </c>
      <c r="G26" s="18">
        <f>'Raw Data'!C26/'Raw Data'!N26</f>
        <v/>
      </c>
      <c r="H26" s="18">
        <f>'Raw Data'!N26/'Raw Data'!Y26</f>
        <v/>
      </c>
      <c r="I26" s="18">
        <f>'Raw Data'!M26/'Raw Data'!Y26</f>
        <v/>
      </c>
      <c r="J26" s="18">
        <f>'Raw Data'!M26/'Raw Data'!N26</f>
        <v/>
      </c>
      <c r="K26" s="18">
        <f>IF('Raw Data'!F26=0,NA(),'Raw Data'!W26/'Raw Data'!F26)</f>
        <v/>
      </c>
      <c r="L26" s="18">
        <f>'Raw Data'!Z26/'Raw Data'!AA26</f>
        <v/>
      </c>
    </row>
    <row r="27">
      <c r="A27">
        <f>'Raw Data'!A27</f>
        <v/>
      </c>
      <c r="B27">
        <f>'Raw Data'!B27</f>
        <v/>
      </c>
      <c r="C27" s="12">
        <f>'Raw Data'!J27/'Raw Data'!Y27</f>
        <v/>
      </c>
      <c r="D27" s="12">
        <f>'Raw Data'!J27/'Raw Data'!N27</f>
        <v/>
      </c>
      <c r="E27" s="12">
        <f>'Raw Data'!J27/'Raw Data'!C27</f>
        <v/>
      </c>
      <c r="F27" s="12">
        <f>'Raw Data'!W27/'Raw Data'!C27</f>
        <v/>
      </c>
      <c r="G27" s="18">
        <f>'Raw Data'!C27/'Raw Data'!N27</f>
        <v/>
      </c>
      <c r="H27" s="18">
        <f>'Raw Data'!N27/'Raw Data'!Y27</f>
        <v/>
      </c>
      <c r="I27" s="18">
        <f>'Raw Data'!M27/'Raw Data'!Y27</f>
        <v/>
      </c>
      <c r="J27" s="18">
        <f>'Raw Data'!M27/'Raw Data'!N27</f>
        <v/>
      </c>
      <c r="K27" s="18">
        <f>IF('Raw Data'!F27=0,NA(),'Raw Data'!W27/'Raw Data'!F27)</f>
        <v/>
      </c>
      <c r="L27" s="18">
        <f>'Raw Data'!Z27/'Raw Data'!AA27</f>
        <v/>
      </c>
    </row>
    <row r="28">
      <c r="A28">
        <f>'Raw Data'!A28</f>
        <v/>
      </c>
      <c r="B28">
        <f>'Raw Data'!B28</f>
        <v/>
      </c>
      <c r="C28" s="12">
        <f>'Raw Data'!J28/'Raw Data'!Y28</f>
        <v/>
      </c>
      <c r="D28" s="12">
        <f>'Raw Data'!J28/'Raw Data'!N28</f>
        <v/>
      </c>
      <c r="E28" s="12">
        <f>'Raw Data'!J28/'Raw Data'!C28</f>
        <v/>
      </c>
      <c r="F28" s="12">
        <f>'Raw Data'!W28/'Raw Data'!C28</f>
        <v/>
      </c>
      <c r="G28" s="18">
        <f>'Raw Data'!C28/'Raw Data'!N28</f>
        <v/>
      </c>
      <c r="H28" s="18">
        <f>'Raw Data'!N28/'Raw Data'!Y28</f>
        <v/>
      </c>
      <c r="I28" s="18">
        <f>'Raw Data'!M28/'Raw Data'!Y28</f>
        <v/>
      </c>
      <c r="J28" s="18">
        <f>'Raw Data'!M28/'Raw Data'!N28</f>
        <v/>
      </c>
      <c r="K28" s="18">
        <f>IF('Raw Data'!F28=0,NA(),'Raw Data'!W28/'Raw Data'!F28)</f>
        <v/>
      </c>
      <c r="L28" s="18">
        <f>'Raw Data'!Z28/'Raw Data'!AA28</f>
        <v/>
      </c>
    </row>
    <row r="29">
      <c r="A29">
        <f>'Raw Data'!A29</f>
        <v/>
      </c>
      <c r="B29">
        <f>'Raw Data'!B29</f>
        <v/>
      </c>
      <c r="C29" s="12">
        <f>'Raw Data'!J29/'Raw Data'!Y29</f>
        <v/>
      </c>
      <c r="D29" s="12">
        <f>'Raw Data'!J29/'Raw Data'!N29</f>
        <v/>
      </c>
      <c r="E29" s="12">
        <f>'Raw Data'!J29/'Raw Data'!C29</f>
        <v/>
      </c>
      <c r="F29" s="12">
        <f>'Raw Data'!W29/'Raw Data'!C29</f>
        <v/>
      </c>
      <c r="G29" s="18">
        <f>'Raw Data'!C29/'Raw Data'!N29</f>
        <v/>
      </c>
      <c r="H29" s="18">
        <f>'Raw Data'!N29/'Raw Data'!Y29</f>
        <v/>
      </c>
      <c r="I29" s="18">
        <f>'Raw Data'!M29/'Raw Data'!Y29</f>
        <v/>
      </c>
      <c r="J29" s="18">
        <f>'Raw Data'!M29/'Raw Data'!N29</f>
        <v/>
      </c>
      <c r="K29" s="18">
        <f>IF('Raw Data'!F29=0,NA(),'Raw Data'!W29/'Raw Data'!F29)</f>
        <v/>
      </c>
      <c r="L29" s="18">
        <f>'Raw Data'!Z29/'Raw Data'!AA29</f>
        <v/>
      </c>
    </row>
    <row r="30">
      <c r="A30">
        <f>'Raw Data'!A30</f>
        <v/>
      </c>
      <c r="B30">
        <f>'Raw Data'!B30</f>
        <v/>
      </c>
      <c r="C30" s="12">
        <f>'Raw Data'!J30/'Raw Data'!Y30</f>
        <v/>
      </c>
      <c r="D30" s="12">
        <f>'Raw Data'!J30/'Raw Data'!N30</f>
        <v/>
      </c>
      <c r="E30" s="12">
        <f>'Raw Data'!J30/'Raw Data'!C30</f>
        <v/>
      </c>
      <c r="F30" s="12">
        <f>'Raw Data'!W30/'Raw Data'!C30</f>
        <v/>
      </c>
      <c r="G30" s="18">
        <f>'Raw Data'!C30/'Raw Data'!N30</f>
        <v/>
      </c>
      <c r="H30" s="18">
        <f>'Raw Data'!N30/'Raw Data'!Y30</f>
        <v/>
      </c>
      <c r="I30" s="18">
        <f>'Raw Data'!M30/'Raw Data'!Y30</f>
        <v/>
      </c>
      <c r="J30" s="18">
        <f>'Raw Data'!M30/'Raw Data'!N30</f>
        <v/>
      </c>
      <c r="K30" s="18">
        <f>IF('Raw Data'!F30=0,NA(),'Raw Data'!W30/'Raw Data'!F30)</f>
        <v/>
      </c>
      <c r="L30" s="18">
        <f>'Raw Data'!Z30/'Raw Data'!AA30</f>
        <v/>
      </c>
    </row>
    <row r="31">
      <c r="A31">
        <f>'Raw Data'!A31</f>
        <v/>
      </c>
      <c r="B31">
        <f>'Raw Data'!B31</f>
        <v/>
      </c>
      <c r="C31" s="12">
        <f>'Raw Data'!J31/'Raw Data'!Y31</f>
        <v/>
      </c>
      <c r="D31" s="12">
        <f>'Raw Data'!J31/'Raw Data'!N31</f>
        <v/>
      </c>
      <c r="E31" s="12">
        <f>'Raw Data'!J31/'Raw Data'!C31</f>
        <v/>
      </c>
      <c r="F31" s="12">
        <f>'Raw Data'!W31/'Raw Data'!C31</f>
        <v/>
      </c>
      <c r="G31" s="18">
        <f>'Raw Data'!C31/'Raw Data'!N31</f>
        <v/>
      </c>
      <c r="H31" s="18">
        <f>'Raw Data'!N31/'Raw Data'!Y31</f>
        <v/>
      </c>
      <c r="I31" s="18">
        <f>'Raw Data'!M31/'Raw Data'!Y31</f>
        <v/>
      </c>
      <c r="J31" s="18">
        <f>'Raw Data'!M31/'Raw Data'!N31</f>
        <v/>
      </c>
      <c r="K31" s="18">
        <f>IF('Raw Data'!F31=0,NA(),'Raw Data'!W31/'Raw Data'!F31)</f>
        <v/>
      </c>
      <c r="L31" s="18">
        <f>'Raw Data'!Z31/'Raw Data'!AA31</f>
        <v/>
      </c>
    </row>
    <row r="32">
      <c r="A32">
        <f>'Raw Data'!A32</f>
        <v/>
      </c>
      <c r="B32">
        <f>'Raw Data'!B32</f>
        <v/>
      </c>
      <c r="C32" s="12">
        <f>'Raw Data'!J32/'Raw Data'!Y32</f>
        <v/>
      </c>
      <c r="D32" s="12">
        <f>'Raw Data'!J32/'Raw Data'!N32</f>
        <v/>
      </c>
      <c r="E32" s="12">
        <f>'Raw Data'!J32/'Raw Data'!C32</f>
        <v/>
      </c>
      <c r="F32" s="12">
        <f>'Raw Data'!W32/'Raw Data'!C32</f>
        <v/>
      </c>
      <c r="G32" s="18">
        <f>'Raw Data'!C32/'Raw Data'!N32</f>
        <v/>
      </c>
      <c r="H32" s="18">
        <f>'Raw Data'!N32/'Raw Data'!Y32</f>
        <v/>
      </c>
      <c r="I32" s="18">
        <f>'Raw Data'!M32/'Raw Data'!Y32</f>
        <v/>
      </c>
      <c r="J32" s="18">
        <f>'Raw Data'!M32/'Raw Data'!N32</f>
        <v/>
      </c>
      <c r="K32" s="18">
        <f>IF('Raw Data'!F32=0,NA(),'Raw Data'!W32/'Raw Data'!F32)</f>
        <v/>
      </c>
      <c r="L32" s="18">
        <f>'Raw Data'!Z32/'Raw Data'!AA32</f>
        <v/>
      </c>
    </row>
    <row r="33">
      <c r="A33">
        <f>'Raw Data'!A33</f>
        <v/>
      </c>
      <c r="B33">
        <f>'Raw Data'!B33</f>
        <v/>
      </c>
      <c r="C33" s="12">
        <f>'Raw Data'!J33/'Raw Data'!Y33</f>
        <v/>
      </c>
      <c r="D33" s="12">
        <f>'Raw Data'!J33/'Raw Data'!N33</f>
        <v/>
      </c>
      <c r="E33" s="12">
        <f>'Raw Data'!J33/'Raw Data'!C33</f>
        <v/>
      </c>
      <c r="F33" s="12">
        <f>'Raw Data'!W33/'Raw Data'!C33</f>
        <v/>
      </c>
      <c r="G33" s="18">
        <f>'Raw Data'!C33/'Raw Data'!N33</f>
        <v/>
      </c>
      <c r="H33" s="18">
        <f>'Raw Data'!N33/'Raw Data'!Y33</f>
        <v/>
      </c>
      <c r="I33" s="18">
        <f>'Raw Data'!M33/'Raw Data'!Y33</f>
        <v/>
      </c>
      <c r="J33" s="18">
        <f>'Raw Data'!M33/'Raw Data'!N33</f>
        <v/>
      </c>
      <c r="K33" s="18">
        <f>IF('Raw Data'!F33=0,NA(),'Raw Data'!W33/'Raw Data'!F33)</f>
        <v/>
      </c>
      <c r="L33" s="18">
        <f>'Raw Data'!Z33/'Raw Data'!AA33</f>
        <v/>
      </c>
    </row>
    <row r="34">
      <c r="A34">
        <f>'Raw Data'!A34</f>
        <v/>
      </c>
      <c r="B34">
        <f>'Raw Data'!B34</f>
        <v/>
      </c>
      <c r="C34" s="12">
        <f>'Raw Data'!J34/'Raw Data'!Y34</f>
        <v/>
      </c>
      <c r="D34" s="12">
        <f>'Raw Data'!J34/'Raw Data'!N34</f>
        <v/>
      </c>
      <c r="E34" s="12">
        <f>'Raw Data'!J34/'Raw Data'!C34</f>
        <v/>
      </c>
      <c r="F34" s="12">
        <f>'Raw Data'!W34/'Raw Data'!C34</f>
        <v/>
      </c>
      <c r="G34" s="18">
        <f>'Raw Data'!C34/'Raw Data'!N34</f>
        <v/>
      </c>
      <c r="H34" s="18">
        <f>'Raw Data'!N34/'Raw Data'!Y34</f>
        <v/>
      </c>
      <c r="I34" s="18">
        <f>'Raw Data'!M34/'Raw Data'!Y34</f>
        <v/>
      </c>
      <c r="J34" s="18">
        <f>'Raw Data'!M34/'Raw Data'!N34</f>
        <v/>
      </c>
      <c r="K34" s="18">
        <f>IF('Raw Data'!F34=0,NA(),'Raw Data'!W34/'Raw Data'!F34)</f>
        <v/>
      </c>
      <c r="L34" s="18">
        <f>'Raw Data'!Z34/'Raw Data'!AA34</f>
        <v/>
      </c>
    </row>
    <row r="35">
      <c r="A35">
        <f>'Raw Data'!A35</f>
        <v/>
      </c>
      <c r="B35">
        <f>'Raw Data'!B35</f>
        <v/>
      </c>
      <c r="C35" s="12">
        <f>'Raw Data'!J35/'Raw Data'!Y35</f>
        <v/>
      </c>
      <c r="D35" s="12">
        <f>'Raw Data'!J35/'Raw Data'!N35</f>
        <v/>
      </c>
      <c r="E35" s="12">
        <f>'Raw Data'!J35/'Raw Data'!C35</f>
        <v/>
      </c>
      <c r="F35" s="12">
        <f>'Raw Data'!W35/'Raw Data'!C35</f>
        <v/>
      </c>
      <c r="G35" s="18">
        <f>'Raw Data'!C35/'Raw Data'!N35</f>
        <v/>
      </c>
      <c r="H35" s="18">
        <f>'Raw Data'!N35/'Raw Data'!Y35</f>
        <v/>
      </c>
      <c r="I35" s="18">
        <f>'Raw Data'!M35/'Raw Data'!Y35</f>
        <v/>
      </c>
      <c r="J35" s="18">
        <f>'Raw Data'!M35/'Raw Data'!N35</f>
        <v/>
      </c>
      <c r="K35" s="18">
        <f>IF('Raw Data'!F35=0,NA(),'Raw Data'!W35/'Raw Data'!F35)</f>
        <v/>
      </c>
      <c r="L35" s="18">
        <f>'Raw Data'!Z35/'Raw Data'!AA35</f>
        <v/>
      </c>
    </row>
    <row r="36">
      <c r="A36">
        <f>'Raw Data'!A36</f>
        <v/>
      </c>
      <c r="B36">
        <f>'Raw Data'!B36</f>
        <v/>
      </c>
      <c r="C36" s="12">
        <f>'Raw Data'!J36/'Raw Data'!Y36</f>
        <v/>
      </c>
      <c r="D36" s="12">
        <f>'Raw Data'!J36/'Raw Data'!N36</f>
        <v/>
      </c>
      <c r="E36" s="12">
        <f>'Raw Data'!J36/'Raw Data'!C36</f>
        <v/>
      </c>
      <c r="F36" s="12">
        <f>'Raw Data'!W36/'Raw Data'!C36</f>
        <v/>
      </c>
      <c r="G36" s="18">
        <f>'Raw Data'!C36/'Raw Data'!N36</f>
        <v/>
      </c>
      <c r="H36" s="18">
        <f>'Raw Data'!N36/'Raw Data'!Y36</f>
        <v/>
      </c>
      <c r="I36" s="18">
        <f>'Raw Data'!M36/'Raw Data'!Y36</f>
        <v/>
      </c>
      <c r="J36" s="18">
        <f>'Raw Data'!M36/'Raw Data'!N36</f>
        <v/>
      </c>
      <c r="K36" s="18">
        <f>IF('Raw Data'!F36=0,NA(),'Raw Data'!W36/'Raw Data'!F36)</f>
        <v/>
      </c>
      <c r="L36" s="18">
        <f>'Raw Data'!Z36/'Raw Data'!AA36</f>
        <v/>
      </c>
    </row>
    <row r="37">
      <c r="A37">
        <f>'Raw Data'!A37</f>
        <v/>
      </c>
      <c r="B37">
        <f>'Raw Data'!B37</f>
        <v/>
      </c>
      <c r="C37" s="12">
        <f>'Raw Data'!J37/'Raw Data'!Y37</f>
        <v/>
      </c>
      <c r="D37" s="12">
        <f>'Raw Data'!J37/'Raw Data'!N37</f>
        <v/>
      </c>
      <c r="E37" s="12">
        <f>'Raw Data'!J37/'Raw Data'!C37</f>
        <v/>
      </c>
      <c r="F37" s="12">
        <f>'Raw Data'!W37/'Raw Data'!C37</f>
        <v/>
      </c>
      <c r="G37" s="18">
        <f>'Raw Data'!C37/'Raw Data'!N37</f>
        <v/>
      </c>
      <c r="H37" s="18">
        <f>'Raw Data'!N37/'Raw Data'!Y37</f>
        <v/>
      </c>
      <c r="I37" s="18">
        <f>'Raw Data'!M37/'Raw Data'!Y37</f>
        <v/>
      </c>
      <c r="J37" s="18">
        <f>'Raw Data'!M37/'Raw Data'!N37</f>
        <v/>
      </c>
      <c r="K37" s="18">
        <f>IF('Raw Data'!F37=0,NA(),'Raw Data'!W37/'Raw Data'!F37)</f>
        <v/>
      </c>
      <c r="L37" s="18">
        <f>'Raw Data'!Z37/'Raw Data'!AA37</f>
        <v/>
      </c>
    </row>
    <row r="38">
      <c r="A38">
        <f>'Raw Data'!A38</f>
        <v/>
      </c>
      <c r="B38">
        <f>'Raw Data'!B38</f>
        <v/>
      </c>
      <c r="C38" s="12">
        <f>'Raw Data'!J38/'Raw Data'!Y38</f>
        <v/>
      </c>
      <c r="D38" s="12">
        <f>'Raw Data'!J38/'Raw Data'!N38</f>
        <v/>
      </c>
      <c r="E38" s="12">
        <f>'Raw Data'!J38/'Raw Data'!C38</f>
        <v/>
      </c>
      <c r="F38" s="12">
        <f>'Raw Data'!W38/'Raw Data'!C38</f>
        <v/>
      </c>
      <c r="G38" s="18">
        <f>'Raw Data'!C38/'Raw Data'!N38</f>
        <v/>
      </c>
      <c r="H38" s="18">
        <f>'Raw Data'!N38/'Raw Data'!Y38</f>
        <v/>
      </c>
      <c r="I38" s="18">
        <f>'Raw Data'!M38/'Raw Data'!Y38</f>
        <v/>
      </c>
      <c r="J38" s="18">
        <f>'Raw Data'!M38/'Raw Data'!N38</f>
        <v/>
      </c>
      <c r="K38" s="18">
        <f>IF('Raw Data'!F38=0,NA(),'Raw Data'!W38/'Raw Data'!F38)</f>
        <v/>
      </c>
      <c r="L38" s="18">
        <f>'Raw Data'!Z38/'Raw Data'!AA38</f>
        <v/>
      </c>
    </row>
    <row r="39">
      <c r="A39">
        <f>'Raw Data'!A39</f>
        <v/>
      </c>
      <c r="B39">
        <f>'Raw Data'!B39</f>
        <v/>
      </c>
      <c r="C39" s="12">
        <f>'Raw Data'!J39/'Raw Data'!Y39</f>
        <v/>
      </c>
      <c r="D39" s="12">
        <f>'Raw Data'!J39/'Raw Data'!N39</f>
        <v/>
      </c>
      <c r="E39" s="12">
        <f>'Raw Data'!J39/'Raw Data'!C39</f>
        <v/>
      </c>
      <c r="F39" s="12">
        <f>'Raw Data'!W39/'Raw Data'!C39</f>
        <v/>
      </c>
      <c r="G39" s="18">
        <f>'Raw Data'!C39/'Raw Data'!N39</f>
        <v/>
      </c>
      <c r="H39" s="18">
        <f>'Raw Data'!N39/'Raw Data'!Y39</f>
        <v/>
      </c>
      <c r="I39" s="18">
        <f>'Raw Data'!M39/'Raw Data'!Y39</f>
        <v/>
      </c>
      <c r="J39" s="18">
        <f>'Raw Data'!M39/'Raw Data'!N39</f>
        <v/>
      </c>
      <c r="K39" s="18">
        <f>IF('Raw Data'!F39=0,NA(),'Raw Data'!W39/'Raw Data'!F39)</f>
        <v/>
      </c>
      <c r="L39" s="18">
        <f>'Raw Data'!Z39/'Raw Data'!AA39</f>
        <v/>
      </c>
    </row>
    <row r="40">
      <c r="A40">
        <f>'Raw Data'!A40</f>
        <v/>
      </c>
      <c r="B40">
        <f>'Raw Data'!B40</f>
        <v/>
      </c>
      <c r="C40" s="12">
        <f>'Raw Data'!J40/'Raw Data'!Y40</f>
        <v/>
      </c>
      <c r="D40" s="12">
        <f>'Raw Data'!J40/'Raw Data'!N40</f>
        <v/>
      </c>
      <c r="E40" s="12">
        <f>'Raw Data'!J40/'Raw Data'!C40</f>
        <v/>
      </c>
      <c r="F40" s="12">
        <f>'Raw Data'!W40/'Raw Data'!C40</f>
        <v/>
      </c>
      <c r="G40" s="18">
        <f>'Raw Data'!C40/'Raw Data'!N40</f>
        <v/>
      </c>
      <c r="H40" s="18">
        <f>'Raw Data'!N40/'Raw Data'!Y40</f>
        <v/>
      </c>
      <c r="I40" s="18">
        <f>'Raw Data'!M40/'Raw Data'!Y40</f>
        <v/>
      </c>
      <c r="J40" s="18">
        <f>'Raw Data'!M40/'Raw Data'!N40</f>
        <v/>
      </c>
      <c r="K40" s="18">
        <f>IF('Raw Data'!F40=0,NA(),'Raw Data'!W40/'Raw Data'!F40)</f>
        <v/>
      </c>
      <c r="L40" s="18">
        <f>'Raw Data'!Z40/'Raw Data'!AA40</f>
        <v/>
      </c>
    </row>
    <row r="41">
      <c r="A41">
        <f>'Raw Data'!A41</f>
        <v/>
      </c>
      <c r="B41">
        <f>'Raw Data'!B41</f>
        <v/>
      </c>
      <c r="C41" s="12">
        <f>'Raw Data'!J41/'Raw Data'!Y41</f>
        <v/>
      </c>
      <c r="D41" s="12">
        <f>'Raw Data'!J41/'Raw Data'!N41</f>
        <v/>
      </c>
      <c r="E41" s="12">
        <f>'Raw Data'!J41/'Raw Data'!C41</f>
        <v/>
      </c>
      <c r="F41" s="12">
        <f>'Raw Data'!W41/'Raw Data'!C41</f>
        <v/>
      </c>
      <c r="G41" s="18">
        <f>'Raw Data'!C41/'Raw Data'!N41</f>
        <v/>
      </c>
      <c r="H41" s="18">
        <f>'Raw Data'!N41/'Raw Data'!Y41</f>
        <v/>
      </c>
      <c r="I41" s="18">
        <f>'Raw Data'!M41/'Raw Data'!Y41</f>
        <v/>
      </c>
      <c r="J41" s="18">
        <f>'Raw Data'!M41/'Raw Data'!N41</f>
        <v/>
      </c>
      <c r="K41" s="18">
        <f>IF('Raw Data'!F41=0,NA(),'Raw Data'!W41/'Raw Data'!F41)</f>
        <v/>
      </c>
      <c r="L41" s="18">
        <f>'Raw Data'!Z41/'Raw Data'!AA41</f>
        <v/>
      </c>
    </row>
    <row r="42"/>
    <row r="43">
      <c r="A43" s="2" t="inlineStr">
        <is>
          <t>Every cell is a live formula into Raw Data. InterestCoverage is #N/A when InterestExpense = 0. CurrentRatio uses the schedule-based approximations (see Raw Data note).</t>
        </is>
      </c>
    </row>
  </sheetData>
  <conditionalFormatting sqref="C2:C41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D2:D41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E2:E41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F2:F41">
    <cfRule type="colorScale" priority="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G2:G41">
    <cfRule type="colorScale" priority="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H2:H41">
    <cfRule type="colorScale" priority="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I2:I41">
    <cfRule type="colorScale" priority="7">
      <colorScale>
        <cfvo type="min"/>
        <cfvo type="percentile" val="50"/>
        <cfvo type="max"/>
        <color rgb="0063BE7B"/>
        <color rgb="00FFFFFF"/>
        <color rgb="00F8696B"/>
      </colorScale>
    </cfRule>
  </conditionalFormatting>
  <conditionalFormatting sqref="J2:J41">
    <cfRule type="colorScale" priority="8">
      <colorScale>
        <cfvo type="min"/>
        <cfvo type="percentile" val="50"/>
        <cfvo type="max"/>
        <color rgb="0063BE7B"/>
        <color rgb="00FFFFFF"/>
        <color rgb="00F8696B"/>
      </colorScale>
    </cfRule>
  </conditionalFormatting>
  <conditionalFormatting sqref="K2:K41">
    <cfRule type="colorScale" priority="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2:L41">
    <cfRule type="colorScale" priority="1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9" t="inlineStr">
        <is>
          <t>Company</t>
        </is>
      </c>
      <c r="B1" s="9" t="inlineStr">
        <is>
          <t>Year</t>
        </is>
      </c>
      <c r="C1" s="9" t="inlineStr">
        <is>
          <t>TaxBurden NI/PBT</t>
        </is>
      </c>
      <c r="D1" s="9" t="inlineStr">
        <is>
          <t>IntBurden PBT/EBIT</t>
        </is>
      </c>
      <c r="E1" s="9" t="inlineStr">
        <is>
          <t>EBITMargin EBIT/Rev</t>
        </is>
      </c>
      <c r="F1" s="9" t="inlineStr">
        <is>
          <t>AssetTurn Rev/Assets</t>
        </is>
      </c>
      <c r="G1" s="9" t="inlineStr">
        <is>
          <t>EqMult Assets/Equity</t>
        </is>
      </c>
      <c r="H1" s="9" t="inlineStr">
        <is>
          <t>DuPont ROE</t>
        </is>
      </c>
      <c r="I1" s="9" t="inlineStr">
        <is>
          <t>Reported ROE</t>
        </is>
      </c>
      <c r="J1" s="9" t="inlineStr">
        <is>
          <t>Check</t>
        </is>
      </c>
      <c r="L1" s="17" t="inlineStr">
        <is>
          <t>ln-contributions (latest FY)</t>
        </is>
      </c>
    </row>
    <row r="2">
      <c r="A2">
        <f>'Raw Data'!A2</f>
        <v/>
      </c>
      <c r="B2">
        <f>'Raw Data'!B2</f>
        <v/>
      </c>
      <c r="C2" s="18">
        <f>'Raw Data'!J2/'Raw Data'!H2</f>
        <v/>
      </c>
      <c r="D2" s="18">
        <f>'Raw Data'!H2/'Raw Data'!W2</f>
        <v/>
      </c>
      <c r="E2" s="12">
        <f>'Raw Data'!W2/'Raw Data'!C2</f>
        <v/>
      </c>
      <c r="F2" s="18">
        <f>'Raw Data'!C2/'Raw Data'!N2</f>
        <v/>
      </c>
      <c r="G2" s="18">
        <f>'Raw Data'!N2/'Raw Data'!Y2</f>
        <v/>
      </c>
      <c r="H2" s="19">
        <f>C2*D2*E2*F2*G2</f>
        <v/>
      </c>
      <c r="I2" s="12">
        <f>'Ratio Analysis'!C2</f>
        <v/>
      </c>
      <c r="J2">
        <f>IF(ABS(H2-I2)&lt;0.0001,"✓","⚠")</f>
        <v/>
      </c>
      <c r="L2" s="4" t="inlineStr">
        <is>
          <t>Firm</t>
        </is>
      </c>
      <c r="M2" s="4" t="inlineStr">
        <is>
          <t>TaxBurden</t>
        </is>
      </c>
      <c r="N2" s="4" t="inlineStr">
        <is>
          <t>IntBurden</t>
        </is>
      </c>
      <c r="O2" s="4" t="inlineStr">
        <is>
          <t>EBITMargin</t>
        </is>
      </c>
      <c r="P2" s="4" t="inlineStr">
        <is>
          <t>AssetTurn</t>
        </is>
      </c>
      <c r="Q2" s="4" t="inlineStr">
        <is>
          <t>EqMult</t>
        </is>
      </c>
    </row>
    <row r="3">
      <c r="A3">
        <f>'Raw Data'!A3</f>
        <v/>
      </c>
      <c r="B3">
        <f>'Raw Data'!B3</f>
        <v/>
      </c>
      <c r="C3" s="18">
        <f>'Raw Data'!J3/'Raw Data'!H3</f>
        <v/>
      </c>
      <c r="D3" s="18">
        <f>'Raw Data'!H3/'Raw Data'!W3</f>
        <v/>
      </c>
      <c r="E3" s="12">
        <f>'Raw Data'!W3/'Raw Data'!C3</f>
        <v/>
      </c>
      <c r="F3" s="18">
        <f>'Raw Data'!C3/'Raw Data'!N3</f>
        <v/>
      </c>
      <c r="G3" s="18">
        <f>'Raw Data'!N3/'Raw Data'!Y3</f>
        <v/>
      </c>
      <c r="H3" s="19">
        <f>C3*D3*E3*F3*G3</f>
        <v/>
      </c>
      <c r="I3" s="12">
        <f>'Ratio Analysis'!C3</f>
        <v/>
      </c>
      <c r="J3">
        <f>IF(ABS(H3-I3)&lt;0.0001,"✓","⚠")</f>
        <v/>
      </c>
      <c r="L3">
        <f>'Raw Data'!A6</f>
        <v/>
      </c>
      <c r="M3" s="18">
        <f>LN(C6)</f>
        <v/>
      </c>
      <c r="N3" s="18">
        <f>LN(D6)</f>
        <v/>
      </c>
      <c r="O3" s="18">
        <f>LN(E6)</f>
        <v/>
      </c>
      <c r="P3" s="18">
        <f>LN(F6)</f>
        <v/>
      </c>
      <c r="Q3" s="18">
        <f>LN(G6)</f>
        <v/>
      </c>
    </row>
    <row r="4">
      <c r="A4">
        <f>'Raw Data'!A4</f>
        <v/>
      </c>
      <c r="B4">
        <f>'Raw Data'!B4</f>
        <v/>
      </c>
      <c r="C4" s="18">
        <f>'Raw Data'!J4/'Raw Data'!H4</f>
        <v/>
      </c>
      <c r="D4" s="18">
        <f>'Raw Data'!H4/'Raw Data'!W4</f>
        <v/>
      </c>
      <c r="E4" s="12">
        <f>'Raw Data'!W4/'Raw Data'!C4</f>
        <v/>
      </c>
      <c r="F4" s="18">
        <f>'Raw Data'!C4/'Raw Data'!N4</f>
        <v/>
      </c>
      <c r="G4" s="18">
        <f>'Raw Data'!N4/'Raw Data'!Y4</f>
        <v/>
      </c>
      <c r="H4" s="19">
        <f>C4*D4*E4*F4*G4</f>
        <v/>
      </c>
      <c r="I4" s="12">
        <f>'Ratio Analysis'!C4</f>
        <v/>
      </c>
      <c r="J4">
        <f>IF(ABS(H4-I4)&lt;0.0001,"✓","⚠")</f>
        <v/>
      </c>
      <c r="L4">
        <f>'Raw Data'!A11</f>
        <v/>
      </c>
      <c r="M4" s="18">
        <f>LN(C11)</f>
        <v/>
      </c>
      <c r="N4" s="18">
        <f>LN(D11)</f>
        <v/>
      </c>
      <c r="O4" s="18">
        <f>LN(E11)</f>
        <v/>
      </c>
      <c r="P4" s="18">
        <f>LN(F11)</f>
        <v/>
      </c>
      <c r="Q4" s="18">
        <f>LN(G11)</f>
        <v/>
      </c>
    </row>
    <row r="5">
      <c r="A5">
        <f>'Raw Data'!A5</f>
        <v/>
      </c>
      <c r="B5">
        <f>'Raw Data'!B5</f>
        <v/>
      </c>
      <c r="C5" s="18">
        <f>'Raw Data'!J5/'Raw Data'!H5</f>
        <v/>
      </c>
      <c r="D5" s="18">
        <f>'Raw Data'!H5/'Raw Data'!W5</f>
        <v/>
      </c>
      <c r="E5" s="12">
        <f>'Raw Data'!W5/'Raw Data'!C5</f>
        <v/>
      </c>
      <c r="F5" s="18">
        <f>'Raw Data'!C5/'Raw Data'!N5</f>
        <v/>
      </c>
      <c r="G5" s="18">
        <f>'Raw Data'!N5/'Raw Data'!Y5</f>
        <v/>
      </c>
      <c r="H5" s="19">
        <f>C5*D5*E5*F5*G5</f>
        <v/>
      </c>
      <c r="I5" s="12">
        <f>'Ratio Analysis'!C5</f>
        <v/>
      </c>
      <c r="J5">
        <f>IF(ABS(H5-I5)&lt;0.0001,"✓","⚠")</f>
        <v/>
      </c>
      <c r="L5">
        <f>'Raw Data'!A16</f>
        <v/>
      </c>
      <c r="M5" s="18">
        <f>LN(C16)</f>
        <v/>
      </c>
      <c r="N5" s="18">
        <f>LN(D16)</f>
        <v/>
      </c>
      <c r="O5" s="18">
        <f>LN(E16)</f>
        <v/>
      </c>
      <c r="P5" s="18">
        <f>LN(F16)</f>
        <v/>
      </c>
      <c r="Q5" s="18">
        <f>LN(G16)</f>
        <v/>
      </c>
    </row>
    <row r="6">
      <c r="A6">
        <f>'Raw Data'!A6</f>
        <v/>
      </c>
      <c r="B6">
        <f>'Raw Data'!B6</f>
        <v/>
      </c>
      <c r="C6" s="18">
        <f>'Raw Data'!J6/'Raw Data'!H6</f>
        <v/>
      </c>
      <c r="D6" s="18">
        <f>'Raw Data'!H6/'Raw Data'!W6</f>
        <v/>
      </c>
      <c r="E6" s="12">
        <f>'Raw Data'!W6/'Raw Data'!C6</f>
        <v/>
      </c>
      <c r="F6" s="18">
        <f>'Raw Data'!C6/'Raw Data'!N6</f>
        <v/>
      </c>
      <c r="G6" s="18">
        <f>'Raw Data'!N6/'Raw Data'!Y6</f>
        <v/>
      </c>
      <c r="H6" s="19">
        <f>C6*D6*E6*F6*G6</f>
        <v/>
      </c>
      <c r="I6" s="12">
        <f>'Ratio Analysis'!C6</f>
        <v/>
      </c>
      <c r="J6">
        <f>IF(ABS(H6-I6)&lt;0.0001,"✓","⚠")</f>
        <v/>
      </c>
      <c r="L6">
        <f>'Raw Data'!A21</f>
        <v/>
      </c>
      <c r="M6" s="18">
        <f>LN(C21)</f>
        <v/>
      </c>
      <c r="N6" s="18">
        <f>LN(D21)</f>
        <v/>
      </c>
      <c r="O6" s="18">
        <f>LN(E21)</f>
        <v/>
      </c>
      <c r="P6" s="18">
        <f>LN(F21)</f>
        <v/>
      </c>
      <c r="Q6" s="18">
        <f>LN(G21)</f>
        <v/>
      </c>
    </row>
    <row r="7">
      <c r="A7">
        <f>'Raw Data'!A7</f>
        <v/>
      </c>
      <c r="B7">
        <f>'Raw Data'!B7</f>
        <v/>
      </c>
      <c r="C7" s="18">
        <f>'Raw Data'!J7/'Raw Data'!H7</f>
        <v/>
      </c>
      <c r="D7" s="18">
        <f>'Raw Data'!H7/'Raw Data'!W7</f>
        <v/>
      </c>
      <c r="E7" s="12">
        <f>'Raw Data'!W7/'Raw Data'!C7</f>
        <v/>
      </c>
      <c r="F7" s="18">
        <f>'Raw Data'!C7/'Raw Data'!N7</f>
        <v/>
      </c>
      <c r="G7" s="18">
        <f>'Raw Data'!N7/'Raw Data'!Y7</f>
        <v/>
      </c>
      <c r="H7" s="19">
        <f>C7*D7*E7*F7*G7</f>
        <v/>
      </c>
      <c r="I7" s="12">
        <f>'Ratio Analysis'!C7</f>
        <v/>
      </c>
      <c r="J7">
        <f>IF(ABS(H7-I7)&lt;0.0001,"✓","⚠")</f>
        <v/>
      </c>
      <c r="L7">
        <f>'Raw Data'!A26</f>
        <v/>
      </c>
      <c r="M7" s="18">
        <f>LN(C26)</f>
        <v/>
      </c>
      <c r="N7" s="18">
        <f>LN(D26)</f>
        <v/>
      </c>
      <c r="O7" s="18">
        <f>LN(E26)</f>
        <v/>
      </c>
      <c r="P7" s="18">
        <f>LN(F26)</f>
        <v/>
      </c>
      <c r="Q7" s="18">
        <f>LN(G26)</f>
        <v/>
      </c>
    </row>
    <row r="8">
      <c r="A8">
        <f>'Raw Data'!A8</f>
        <v/>
      </c>
      <c r="B8">
        <f>'Raw Data'!B8</f>
        <v/>
      </c>
      <c r="C8" s="18">
        <f>'Raw Data'!J8/'Raw Data'!H8</f>
        <v/>
      </c>
      <c r="D8" s="18">
        <f>'Raw Data'!H8/'Raw Data'!W8</f>
        <v/>
      </c>
      <c r="E8" s="12">
        <f>'Raw Data'!W8/'Raw Data'!C8</f>
        <v/>
      </c>
      <c r="F8" s="18">
        <f>'Raw Data'!C8/'Raw Data'!N8</f>
        <v/>
      </c>
      <c r="G8" s="18">
        <f>'Raw Data'!N8/'Raw Data'!Y8</f>
        <v/>
      </c>
      <c r="H8" s="19">
        <f>C8*D8*E8*F8*G8</f>
        <v/>
      </c>
      <c r="I8" s="12">
        <f>'Ratio Analysis'!C8</f>
        <v/>
      </c>
      <c r="J8">
        <f>IF(ABS(H8-I8)&lt;0.0001,"✓","⚠")</f>
        <v/>
      </c>
      <c r="L8">
        <f>'Raw Data'!A31</f>
        <v/>
      </c>
      <c r="M8" s="18">
        <f>LN(C31)</f>
        <v/>
      </c>
      <c r="N8" s="18">
        <f>LN(D31)</f>
        <v/>
      </c>
      <c r="O8" s="18">
        <f>LN(E31)</f>
        <v/>
      </c>
      <c r="P8" s="18">
        <f>LN(F31)</f>
        <v/>
      </c>
      <c r="Q8" s="18">
        <f>LN(G31)</f>
        <v/>
      </c>
    </row>
    <row r="9">
      <c r="A9">
        <f>'Raw Data'!A9</f>
        <v/>
      </c>
      <c r="B9">
        <f>'Raw Data'!B9</f>
        <v/>
      </c>
      <c r="C9" s="18">
        <f>'Raw Data'!J9/'Raw Data'!H9</f>
        <v/>
      </c>
      <c r="D9" s="18">
        <f>'Raw Data'!H9/'Raw Data'!W9</f>
        <v/>
      </c>
      <c r="E9" s="12">
        <f>'Raw Data'!W9/'Raw Data'!C9</f>
        <v/>
      </c>
      <c r="F9" s="18">
        <f>'Raw Data'!C9/'Raw Data'!N9</f>
        <v/>
      </c>
      <c r="G9" s="18">
        <f>'Raw Data'!N9/'Raw Data'!Y9</f>
        <v/>
      </c>
      <c r="H9" s="19">
        <f>C9*D9*E9*F9*G9</f>
        <v/>
      </c>
      <c r="I9" s="12">
        <f>'Ratio Analysis'!C9</f>
        <v/>
      </c>
      <c r="J9">
        <f>IF(ABS(H9-I9)&lt;0.0001,"✓","⚠")</f>
        <v/>
      </c>
      <c r="L9">
        <f>'Raw Data'!A36</f>
        <v/>
      </c>
      <c r="M9" s="18">
        <f>LN(C36)</f>
        <v/>
      </c>
      <c r="N9" s="18">
        <f>LN(D36)</f>
        <v/>
      </c>
      <c r="O9" s="18">
        <f>LN(E36)</f>
        <v/>
      </c>
      <c r="P9" s="18">
        <f>LN(F36)</f>
        <v/>
      </c>
      <c r="Q9" s="18">
        <f>LN(G36)</f>
        <v/>
      </c>
    </row>
    <row r="10">
      <c r="A10">
        <f>'Raw Data'!A10</f>
        <v/>
      </c>
      <c r="B10">
        <f>'Raw Data'!B10</f>
        <v/>
      </c>
      <c r="C10" s="18">
        <f>'Raw Data'!J10/'Raw Data'!H10</f>
        <v/>
      </c>
      <c r="D10" s="18">
        <f>'Raw Data'!H10/'Raw Data'!W10</f>
        <v/>
      </c>
      <c r="E10" s="12">
        <f>'Raw Data'!W10/'Raw Data'!C10</f>
        <v/>
      </c>
      <c r="F10" s="18">
        <f>'Raw Data'!C10/'Raw Data'!N10</f>
        <v/>
      </c>
      <c r="G10" s="18">
        <f>'Raw Data'!N10/'Raw Data'!Y10</f>
        <v/>
      </c>
      <c r="H10" s="19">
        <f>C10*D10*E10*F10*G10</f>
        <v/>
      </c>
      <c r="I10" s="12">
        <f>'Ratio Analysis'!C10</f>
        <v/>
      </c>
      <c r="J10">
        <f>IF(ABS(H10-I10)&lt;0.0001,"✓","⚠")</f>
        <v/>
      </c>
      <c r="L10">
        <f>'Raw Data'!A41</f>
        <v/>
      </c>
      <c r="M10" s="18">
        <f>LN(C41)</f>
        <v/>
      </c>
      <c r="N10" s="18">
        <f>LN(D41)</f>
        <v/>
      </c>
      <c r="O10" s="18">
        <f>LN(E41)</f>
        <v/>
      </c>
      <c r="P10" s="18">
        <f>LN(F41)</f>
        <v/>
      </c>
      <c r="Q10" s="18">
        <f>LN(G41)</f>
        <v/>
      </c>
    </row>
    <row r="11">
      <c r="A11">
        <f>'Raw Data'!A11</f>
        <v/>
      </c>
      <c r="B11">
        <f>'Raw Data'!B11</f>
        <v/>
      </c>
      <c r="C11" s="18">
        <f>'Raw Data'!J11/'Raw Data'!H11</f>
        <v/>
      </c>
      <c r="D11" s="18">
        <f>'Raw Data'!H11/'Raw Data'!W11</f>
        <v/>
      </c>
      <c r="E11" s="12">
        <f>'Raw Data'!W11/'Raw Data'!C11</f>
        <v/>
      </c>
      <c r="F11" s="18">
        <f>'Raw Data'!C11/'Raw Data'!N11</f>
        <v/>
      </c>
      <c r="G11" s="18">
        <f>'Raw Data'!N11/'Raw Data'!Y11</f>
        <v/>
      </c>
      <c r="H11" s="19">
        <f>C11*D11*E11*F11*G11</f>
        <v/>
      </c>
      <c r="I11" s="12">
        <f>'Ratio Analysis'!C11</f>
        <v/>
      </c>
      <c r="J11">
        <f>IF(ABS(H11-I11)&lt;0.0001,"✓","⚠")</f>
        <v/>
      </c>
    </row>
    <row r="12">
      <c r="A12">
        <f>'Raw Data'!A12</f>
        <v/>
      </c>
      <c r="B12">
        <f>'Raw Data'!B12</f>
        <v/>
      </c>
      <c r="C12" s="18">
        <f>'Raw Data'!J12/'Raw Data'!H12</f>
        <v/>
      </c>
      <c r="D12" s="18">
        <f>'Raw Data'!H12/'Raw Data'!W12</f>
        <v/>
      </c>
      <c r="E12" s="12">
        <f>'Raw Data'!W12/'Raw Data'!C12</f>
        <v/>
      </c>
      <c r="F12" s="18">
        <f>'Raw Data'!C12/'Raw Data'!N12</f>
        <v/>
      </c>
      <c r="G12" s="18">
        <f>'Raw Data'!N12/'Raw Data'!Y12</f>
        <v/>
      </c>
      <c r="H12" s="19">
        <f>C12*D12*E12*F12*G12</f>
        <v/>
      </c>
      <c r="I12" s="12">
        <f>'Ratio Analysis'!C12</f>
        <v/>
      </c>
      <c r="J12">
        <f>IF(ABS(H12-I12)&lt;0.0001,"✓","⚠")</f>
        <v/>
      </c>
    </row>
    <row r="13">
      <c r="A13">
        <f>'Raw Data'!A13</f>
        <v/>
      </c>
      <c r="B13">
        <f>'Raw Data'!B13</f>
        <v/>
      </c>
      <c r="C13" s="18">
        <f>'Raw Data'!J13/'Raw Data'!H13</f>
        <v/>
      </c>
      <c r="D13" s="18">
        <f>'Raw Data'!H13/'Raw Data'!W13</f>
        <v/>
      </c>
      <c r="E13" s="12">
        <f>'Raw Data'!W13/'Raw Data'!C13</f>
        <v/>
      </c>
      <c r="F13" s="18">
        <f>'Raw Data'!C13/'Raw Data'!N13</f>
        <v/>
      </c>
      <c r="G13" s="18">
        <f>'Raw Data'!N13/'Raw Data'!Y13</f>
        <v/>
      </c>
      <c r="H13" s="19">
        <f>C13*D13*E13*F13*G13</f>
        <v/>
      </c>
      <c r="I13" s="12">
        <f>'Ratio Analysis'!C13</f>
        <v/>
      </c>
      <c r="J13">
        <f>IF(ABS(H13-I13)&lt;0.0001,"✓","⚠")</f>
        <v/>
      </c>
    </row>
    <row r="14">
      <c r="A14">
        <f>'Raw Data'!A14</f>
        <v/>
      </c>
      <c r="B14">
        <f>'Raw Data'!B14</f>
        <v/>
      </c>
      <c r="C14" s="18">
        <f>'Raw Data'!J14/'Raw Data'!H14</f>
        <v/>
      </c>
      <c r="D14" s="18">
        <f>'Raw Data'!H14/'Raw Data'!W14</f>
        <v/>
      </c>
      <c r="E14" s="12">
        <f>'Raw Data'!W14/'Raw Data'!C14</f>
        <v/>
      </c>
      <c r="F14" s="18">
        <f>'Raw Data'!C14/'Raw Data'!N14</f>
        <v/>
      </c>
      <c r="G14" s="18">
        <f>'Raw Data'!N14/'Raw Data'!Y14</f>
        <v/>
      </c>
      <c r="H14" s="19">
        <f>C14*D14*E14*F14*G14</f>
        <v/>
      </c>
      <c r="I14" s="12">
        <f>'Ratio Analysis'!C14</f>
        <v/>
      </c>
      <c r="J14">
        <f>IF(ABS(H14-I14)&lt;0.0001,"✓","⚠")</f>
        <v/>
      </c>
    </row>
    <row r="15">
      <c r="A15">
        <f>'Raw Data'!A15</f>
        <v/>
      </c>
      <c r="B15">
        <f>'Raw Data'!B15</f>
        <v/>
      </c>
      <c r="C15" s="18">
        <f>'Raw Data'!J15/'Raw Data'!H15</f>
        <v/>
      </c>
      <c r="D15" s="18">
        <f>'Raw Data'!H15/'Raw Data'!W15</f>
        <v/>
      </c>
      <c r="E15" s="12">
        <f>'Raw Data'!W15/'Raw Data'!C15</f>
        <v/>
      </c>
      <c r="F15" s="18">
        <f>'Raw Data'!C15/'Raw Data'!N15</f>
        <v/>
      </c>
      <c r="G15" s="18">
        <f>'Raw Data'!N15/'Raw Data'!Y15</f>
        <v/>
      </c>
      <c r="H15" s="19">
        <f>C15*D15*E15*F15*G15</f>
        <v/>
      </c>
      <c r="I15" s="12">
        <f>'Ratio Analysis'!C15</f>
        <v/>
      </c>
      <c r="J15">
        <f>IF(ABS(H15-I15)&lt;0.0001,"✓","⚠")</f>
        <v/>
      </c>
    </row>
    <row r="16">
      <c r="A16">
        <f>'Raw Data'!A16</f>
        <v/>
      </c>
      <c r="B16">
        <f>'Raw Data'!B16</f>
        <v/>
      </c>
      <c r="C16" s="18">
        <f>'Raw Data'!J16/'Raw Data'!H16</f>
        <v/>
      </c>
      <c r="D16" s="18">
        <f>'Raw Data'!H16/'Raw Data'!W16</f>
        <v/>
      </c>
      <c r="E16" s="12">
        <f>'Raw Data'!W16/'Raw Data'!C16</f>
        <v/>
      </c>
      <c r="F16" s="18">
        <f>'Raw Data'!C16/'Raw Data'!N16</f>
        <v/>
      </c>
      <c r="G16" s="18">
        <f>'Raw Data'!N16/'Raw Data'!Y16</f>
        <v/>
      </c>
      <c r="H16" s="19">
        <f>C16*D16*E16*F16*G16</f>
        <v/>
      </c>
      <c r="I16" s="12">
        <f>'Ratio Analysis'!C16</f>
        <v/>
      </c>
      <c r="J16">
        <f>IF(ABS(H16-I16)&lt;0.0001,"✓","⚠")</f>
        <v/>
      </c>
    </row>
    <row r="17">
      <c r="A17">
        <f>'Raw Data'!A17</f>
        <v/>
      </c>
      <c r="B17">
        <f>'Raw Data'!B17</f>
        <v/>
      </c>
      <c r="C17" s="18">
        <f>'Raw Data'!J17/'Raw Data'!H17</f>
        <v/>
      </c>
      <c r="D17" s="18">
        <f>'Raw Data'!H17/'Raw Data'!W17</f>
        <v/>
      </c>
      <c r="E17" s="12">
        <f>'Raw Data'!W17/'Raw Data'!C17</f>
        <v/>
      </c>
      <c r="F17" s="18">
        <f>'Raw Data'!C17/'Raw Data'!N17</f>
        <v/>
      </c>
      <c r="G17" s="18">
        <f>'Raw Data'!N17/'Raw Data'!Y17</f>
        <v/>
      </c>
      <c r="H17" s="19">
        <f>C17*D17*E17*F17*G17</f>
        <v/>
      </c>
      <c r="I17" s="12">
        <f>'Ratio Analysis'!C17</f>
        <v/>
      </c>
      <c r="J17">
        <f>IF(ABS(H17-I17)&lt;0.0001,"✓","⚠")</f>
        <v/>
      </c>
    </row>
    <row r="18">
      <c r="A18">
        <f>'Raw Data'!A18</f>
        <v/>
      </c>
      <c r="B18">
        <f>'Raw Data'!B18</f>
        <v/>
      </c>
      <c r="C18" s="18">
        <f>'Raw Data'!J18/'Raw Data'!H18</f>
        <v/>
      </c>
      <c r="D18" s="18">
        <f>'Raw Data'!H18/'Raw Data'!W18</f>
        <v/>
      </c>
      <c r="E18" s="12">
        <f>'Raw Data'!W18/'Raw Data'!C18</f>
        <v/>
      </c>
      <c r="F18" s="18">
        <f>'Raw Data'!C18/'Raw Data'!N18</f>
        <v/>
      </c>
      <c r="G18" s="18">
        <f>'Raw Data'!N18/'Raw Data'!Y18</f>
        <v/>
      </c>
      <c r="H18" s="19">
        <f>C18*D18*E18*F18*G18</f>
        <v/>
      </c>
      <c r="I18" s="12">
        <f>'Ratio Analysis'!C18</f>
        <v/>
      </c>
      <c r="J18">
        <f>IF(ABS(H18-I18)&lt;0.0001,"✓","⚠")</f>
        <v/>
      </c>
    </row>
    <row r="19">
      <c r="A19">
        <f>'Raw Data'!A19</f>
        <v/>
      </c>
      <c r="B19">
        <f>'Raw Data'!B19</f>
        <v/>
      </c>
      <c r="C19" s="18">
        <f>'Raw Data'!J19/'Raw Data'!H19</f>
        <v/>
      </c>
      <c r="D19" s="18">
        <f>'Raw Data'!H19/'Raw Data'!W19</f>
        <v/>
      </c>
      <c r="E19" s="12">
        <f>'Raw Data'!W19/'Raw Data'!C19</f>
        <v/>
      </c>
      <c r="F19" s="18">
        <f>'Raw Data'!C19/'Raw Data'!N19</f>
        <v/>
      </c>
      <c r="G19" s="18">
        <f>'Raw Data'!N19/'Raw Data'!Y19</f>
        <v/>
      </c>
      <c r="H19" s="19">
        <f>C19*D19*E19*F19*G19</f>
        <v/>
      </c>
      <c r="I19" s="12">
        <f>'Ratio Analysis'!C19</f>
        <v/>
      </c>
      <c r="J19">
        <f>IF(ABS(H19-I19)&lt;0.0001,"✓","⚠")</f>
        <v/>
      </c>
    </row>
    <row r="20">
      <c r="A20">
        <f>'Raw Data'!A20</f>
        <v/>
      </c>
      <c r="B20">
        <f>'Raw Data'!B20</f>
        <v/>
      </c>
      <c r="C20" s="18">
        <f>'Raw Data'!J20/'Raw Data'!H20</f>
        <v/>
      </c>
      <c r="D20" s="18">
        <f>'Raw Data'!H20/'Raw Data'!W20</f>
        <v/>
      </c>
      <c r="E20" s="12">
        <f>'Raw Data'!W20/'Raw Data'!C20</f>
        <v/>
      </c>
      <c r="F20" s="18">
        <f>'Raw Data'!C20/'Raw Data'!N20</f>
        <v/>
      </c>
      <c r="G20" s="18">
        <f>'Raw Data'!N20/'Raw Data'!Y20</f>
        <v/>
      </c>
      <c r="H20" s="19">
        <f>C20*D20*E20*F20*G20</f>
        <v/>
      </c>
      <c r="I20" s="12">
        <f>'Ratio Analysis'!C20</f>
        <v/>
      </c>
      <c r="J20">
        <f>IF(ABS(H20-I20)&lt;0.0001,"✓","⚠")</f>
        <v/>
      </c>
    </row>
    <row r="21">
      <c r="A21">
        <f>'Raw Data'!A21</f>
        <v/>
      </c>
      <c r="B21">
        <f>'Raw Data'!B21</f>
        <v/>
      </c>
      <c r="C21" s="18">
        <f>'Raw Data'!J21/'Raw Data'!H21</f>
        <v/>
      </c>
      <c r="D21" s="18">
        <f>'Raw Data'!H21/'Raw Data'!W21</f>
        <v/>
      </c>
      <c r="E21" s="12">
        <f>'Raw Data'!W21/'Raw Data'!C21</f>
        <v/>
      </c>
      <c r="F21" s="18">
        <f>'Raw Data'!C21/'Raw Data'!N21</f>
        <v/>
      </c>
      <c r="G21" s="18">
        <f>'Raw Data'!N21/'Raw Data'!Y21</f>
        <v/>
      </c>
      <c r="H21" s="19">
        <f>C21*D21*E21*F21*G21</f>
        <v/>
      </c>
      <c r="I21" s="12">
        <f>'Ratio Analysis'!C21</f>
        <v/>
      </c>
      <c r="J21">
        <f>IF(ABS(H21-I21)&lt;0.0001,"✓","⚠")</f>
        <v/>
      </c>
    </row>
    <row r="22">
      <c r="A22">
        <f>'Raw Data'!A22</f>
        <v/>
      </c>
      <c r="B22">
        <f>'Raw Data'!B22</f>
        <v/>
      </c>
      <c r="C22" s="18">
        <f>'Raw Data'!J22/'Raw Data'!H22</f>
        <v/>
      </c>
      <c r="D22" s="18">
        <f>'Raw Data'!H22/'Raw Data'!W22</f>
        <v/>
      </c>
      <c r="E22" s="12">
        <f>'Raw Data'!W22/'Raw Data'!C22</f>
        <v/>
      </c>
      <c r="F22" s="18">
        <f>'Raw Data'!C22/'Raw Data'!N22</f>
        <v/>
      </c>
      <c r="G22" s="18">
        <f>'Raw Data'!N22/'Raw Data'!Y22</f>
        <v/>
      </c>
      <c r="H22" s="19">
        <f>C22*D22*E22*F22*G22</f>
        <v/>
      </c>
      <c r="I22" s="12">
        <f>'Ratio Analysis'!C22</f>
        <v/>
      </c>
      <c r="J22">
        <f>IF(ABS(H22-I22)&lt;0.0001,"✓","⚠")</f>
        <v/>
      </c>
    </row>
    <row r="23">
      <c r="A23">
        <f>'Raw Data'!A23</f>
        <v/>
      </c>
      <c r="B23">
        <f>'Raw Data'!B23</f>
        <v/>
      </c>
      <c r="C23" s="18">
        <f>'Raw Data'!J23/'Raw Data'!H23</f>
        <v/>
      </c>
      <c r="D23" s="18">
        <f>'Raw Data'!H23/'Raw Data'!W23</f>
        <v/>
      </c>
      <c r="E23" s="12">
        <f>'Raw Data'!W23/'Raw Data'!C23</f>
        <v/>
      </c>
      <c r="F23" s="18">
        <f>'Raw Data'!C23/'Raw Data'!N23</f>
        <v/>
      </c>
      <c r="G23" s="18">
        <f>'Raw Data'!N23/'Raw Data'!Y23</f>
        <v/>
      </c>
      <c r="H23" s="19">
        <f>C23*D23*E23*F23*G23</f>
        <v/>
      </c>
      <c r="I23" s="12">
        <f>'Ratio Analysis'!C23</f>
        <v/>
      </c>
      <c r="J23">
        <f>IF(ABS(H23-I23)&lt;0.0001,"✓","⚠")</f>
        <v/>
      </c>
    </row>
    <row r="24">
      <c r="A24">
        <f>'Raw Data'!A24</f>
        <v/>
      </c>
      <c r="B24">
        <f>'Raw Data'!B24</f>
        <v/>
      </c>
      <c r="C24" s="18">
        <f>'Raw Data'!J24/'Raw Data'!H24</f>
        <v/>
      </c>
      <c r="D24" s="18">
        <f>'Raw Data'!H24/'Raw Data'!W24</f>
        <v/>
      </c>
      <c r="E24" s="12">
        <f>'Raw Data'!W24/'Raw Data'!C24</f>
        <v/>
      </c>
      <c r="F24" s="18">
        <f>'Raw Data'!C24/'Raw Data'!N24</f>
        <v/>
      </c>
      <c r="G24" s="18">
        <f>'Raw Data'!N24/'Raw Data'!Y24</f>
        <v/>
      </c>
      <c r="H24" s="19">
        <f>C24*D24*E24*F24*G24</f>
        <v/>
      </c>
      <c r="I24" s="12">
        <f>'Ratio Analysis'!C24</f>
        <v/>
      </c>
      <c r="J24">
        <f>IF(ABS(H24-I24)&lt;0.0001,"✓","⚠")</f>
        <v/>
      </c>
    </row>
    <row r="25">
      <c r="A25">
        <f>'Raw Data'!A25</f>
        <v/>
      </c>
      <c r="B25">
        <f>'Raw Data'!B25</f>
        <v/>
      </c>
      <c r="C25" s="18">
        <f>'Raw Data'!J25/'Raw Data'!H25</f>
        <v/>
      </c>
      <c r="D25" s="18">
        <f>'Raw Data'!H25/'Raw Data'!W25</f>
        <v/>
      </c>
      <c r="E25" s="12">
        <f>'Raw Data'!W25/'Raw Data'!C25</f>
        <v/>
      </c>
      <c r="F25" s="18">
        <f>'Raw Data'!C25/'Raw Data'!N25</f>
        <v/>
      </c>
      <c r="G25" s="18">
        <f>'Raw Data'!N25/'Raw Data'!Y25</f>
        <v/>
      </c>
      <c r="H25" s="19">
        <f>C25*D25*E25*F25*G25</f>
        <v/>
      </c>
      <c r="I25" s="12">
        <f>'Ratio Analysis'!C25</f>
        <v/>
      </c>
      <c r="J25">
        <f>IF(ABS(H25-I25)&lt;0.0001,"✓","⚠")</f>
        <v/>
      </c>
    </row>
    <row r="26">
      <c r="A26">
        <f>'Raw Data'!A26</f>
        <v/>
      </c>
      <c r="B26">
        <f>'Raw Data'!B26</f>
        <v/>
      </c>
      <c r="C26" s="18">
        <f>'Raw Data'!J26/'Raw Data'!H26</f>
        <v/>
      </c>
      <c r="D26" s="18">
        <f>'Raw Data'!H26/'Raw Data'!W26</f>
        <v/>
      </c>
      <c r="E26" s="12">
        <f>'Raw Data'!W26/'Raw Data'!C26</f>
        <v/>
      </c>
      <c r="F26" s="18">
        <f>'Raw Data'!C26/'Raw Data'!N26</f>
        <v/>
      </c>
      <c r="G26" s="18">
        <f>'Raw Data'!N26/'Raw Data'!Y26</f>
        <v/>
      </c>
      <c r="H26" s="19">
        <f>C26*D26*E26*F26*G26</f>
        <v/>
      </c>
      <c r="I26" s="12">
        <f>'Ratio Analysis'!C26</f>
        <v/>
      </c>
      <c r="J26">
        <f>IF(ABS(H26-I26)&lt;0.0001,"✓","⚠")</f>
        <v/>
      </c>
    </row>
    <row r="27">
      <c r="A27">
        <f>'Raw Data'!A27</f>
        <v/>
      </c>
      <c r="B27">
        <f>'Raw Data'!B27</f>
        <v/>
      </c>
      <c r="C27" s="18">
        <f>'Raw Data'!J27/'Raw Data'!H27</f>
        <v/>
      </c>
      <c r="D27" s="18">
        <f>'Raw Data'!H27/'Raw Data'!W27</f>
        <v/>
      </c>
      <c r="E27" s="12">
        <f>'Raw Data'!W27/'Raw Data'!C27</f>
        <v/>
      </c>
      <c r="F27" s="18">
        <f>'Raw Data'!C27/'Raw Data'!N27</f>
        <v/>
      </c>
      <c r="G27" s="18">
        <f>'Raw Data'!N27/'Raw Data'!Y27</f>
        <v/>
      </c>
      <c r="H27" s="19">
        <f>C27*D27*E27*F27*G27</f>
        <v/>
      </c>
      <c r="I27" s="12">
        <f>'Ratio Analysis'!C27</f>
        <v/>
      </c>
      <c r="J27">
        <f>IF(ABS(H27-I27)&lt;0.0001,"✓","⚠")</f>
        <v/>
      </c>
    </row>
    <row r="28">
      <c r="A28">
        <f>'Raw Data'!A28</f>
        <v/>
      </c>
      <c r="B28">
        <f>'Raw Data'!B28</f>
        <v/>
      </c>
      <c r="C28" s="18">
        <f>'Raw Data'!J28/'Raw Data'!H28</f>
        <v/>
      </c>
      <c r="D28" s="18">
        <f>'Raw Data'!H28/'Raw Data'!W28</f>
        <v/>
      </c>
      <c r="E28" s="12">
        <f>'Raw Data'!W28/'Raw Data'!C28</f>
        <v/>
      </c>
      <c r="F28" s="18">
        <f>'Raw Data'!C28/'Raw Data'!N28</f>
        <v/>
      </c>
      <c r="G28" s="18">
        <f>'Raw Data'!N28/'Raw Data'!Y28</f>
        <v/>
      </c>
      <c r="H28" s="19">
        <f>C28*D28*E28*F28*G28</f>
        <v/>
      </c>
      <c r="I28" s="12">
        <f>'Ratio Analysis'!C28</f>
        <v/>
      </c>
      <c r="J28">
        <f>IF(ABS(H28-I28)&lt;0.0001,"✓","⚠")</f>
        <v/>
      </c>
    </row>
    <row r="29">
      <c r="A29">
        <f>'Raw Data'!A29</f>
        <v/>
      </c>
      <c r="B29">
        <f>'Raw Data'!B29</f>
        <v/>
      </c>
      <c r="C29" s="18">
        <f>'Raw Data'!J29/'Raw Data'!H29</f>
        <v/>
      </c>
      <c r="D29" s="18">
        <f>'Raw Data'!H29/'Raw Data'!W29</f>
        <v/>
      </c>
      <c r="E29" s="12">
        <f>'Raw Data'!W29/'Raw Data'!C29</f>
        <v/>
      </c>
      <c r="F29" s="18">
        <f>'Raw Data'!C29/'Raw Data'!N29</f>
        <v/>
      </c>
      <c r="G29" s="18">
        <f>'Raw Data'!N29/'Raw Data'!Y29</f>
        <v/>
      </c>
      <c r="H29" s="19">
        <f>C29*D29*E29*F29*G29</f>
        <v/>
      </c>
      <c r="I29" s="12">
        <f>'Ratio Analysis'!C29</f>
        <v/>
      </c>
      <c r="J29">
        <f>IF(ABS(H29-I29)&lt;0.0001,"✓","⚠")</f>
        <v/>
      </c>
    </row>
    <row r="30">
      <c r="A30">
        <f>'Raw Data'!A30</f>
        <v/>
      </c>
      <c r="B30">
        <f>'Raw Data'!B30</f>
        <v/>
      </c>
      <c r="C30" s="18">
        <f>'Raw Data'!J30/'Raw Data'!H30</f>
        <v/>
      </c>
      <c r="D30" s="18">
        <f>'Raw Data'!H30/'Raw Data'!W30</f>
        <v/>
      </c>
      <c r="E30" s="12">
        <f>'Raw Data'!W30/'Raw Data'!C30</f>
        <v/>
      </c>
      <c r="F30" s="18">
        <f>'Raw Data'!C30/'Raw Data'!N30</f>
        <v/>
      </c>
      <c r="G30" s="18">
        <f>'Raw Data'!N30/'Raw Data'!Y30</f>
        <v/>
      </c>
      <c r="H30" s="19">
        <f>C30*D30*E30*F30*G30</f>
        <v/>
      </c>
      <c r="I30" s="12">
        <f>'Ratio Analysis'!C30</f>
        <v/>
      </c>
      <c r="J30">
        <f>IF(ABS(H30-I30)&lt;0.0001,"✓","⚠")</f>
        <v/>
      </c>
    </row>
    <row r="31">
      <c r="A31">
        <f>'Raw Data'!A31</f>
        <v/>
      </c>
      <c r="B31">
        <f>'Raw Data'!B31</f>
        <v/>
      </c>
      <c r="C31" s="18">
        <f>'Raw Data'!J31/'Raw Data'!H31</f>
        <v/>
      </c>
      <c r="D31" s="18">
        <f>'Raw Data'!H31/'Raw Data'!W31</f>
        <v/>
      </c>
      <c r="E31" s="12">
        <f>'Raw Data'!W31/'Raw Data'!C31</f>
        <v/>
      </c>
      <c r="F31" s="18">
        <f>'Raw Data'!C31/'Raw Data'!N31</f>
        <v/>
      </c>
      <c r="G31" s="18">
        <f>'Raw Data'!N31/'Raw Data'!Y31</f>
        <v/>
      </c>
      <c r="H31" s="19">
        <f>C31*D31*E31*F31*G31</f>
        <v/>
      </c>
      <c r="I31" s="12">
        <f>'Ratio Analysis'!C31</f>
        <v/>
      </c>
      <c r="J31">
        <f>IF(ABS(H31-I31)&lt;0.0001,"✓","⚠")</f>
        <v/>
      </c>
    </row>
    <row r="32">
      <c r="A32">
        <f>'Raw Data'!A32</f>
        <v/>
      </c>
      <c r="B32">
        <f>'Raw Data'!B32</f>
        <v/>
      </c>
      <c r="C32" s="18">
        <f>'Raw Data'!J32/'Raw Data'!H32</f>
        <v/>
      </c>
      <c r="D32" s="18">
        <f>'Raw Data'!H32/'Raw Data'!W32</f>
        <v/>
      </c>
      <c r="E32" s="12">
        <f>'Raw Data'!W32/'Raw Data'!C32</f>
        <v/>
      </c>
      <c r="F32" s="18">
        <f>'Raw Data'!C32/'Raw Data'!N32</f>
        <v/>
      </c>
      <c r="G32" s="18">
        <f>'Raw Data'!N32/'Raw Data'!Y32</f>
        <v/>
      </c>
      <c r="H32" s="19">
        <f>C32*D32*E32*F32*G32</f>
        <v/>
      </c>
      <c r="I32" s="12">
        <f>'Ratio Analysis'!C32</f>
        <v/>
      </c>
      <c r="J32">
        <f>IF(ABS(H32-I32)&lt;0.0001,"✓","⚠")</f>
        <v/>
      </c>
    </row>
    <row r="33">
      <c r="A33">
        <f>'Raw Data'!A33</f>
        <v/>
      </c>
      <c r="B33">
        <f>'Raw Data'!B33</f>
        <v/>
      </c>
      <c r="C33" s="18">
        <f>'Raw Data'!J33/'Raw Data'!H33</f>
        <v/>
      </c>
      <c r="D33" s="18">
        <f>'Raw Data'!H33/'Raw Data'!W33</f>
        <v/>
      </c>
      <c r="E33" s="12">
        <f>'Raw Data'!W33/'Raw Data'!C33</f>
        <v/>
      </c>
      <c r="F33" s="18">
        <f>'Raw Data'!C33/'Raw Data'!N33</f>
        <v/>
      </c>
      <c r="G33" s="18">
        <f>'Raw Data'!N33/'Raw Data'!Y33</f>
        <v/>
      </c>
      <c r="H33" s="19">
        <f>C33*D33*E33*F33*G33</f>
        <v/>
      </c>
      <c r="I33" s="12">
        <f>'Ratio Analysis'!C33</f>
        <v/>
      </c>
      <c r="J33">
        <f>IF(ABS(H33-I33)&lt;0.0001,"✓","⚠")</f>
        <v/>
      </c>
    </row>
    <row r="34">
      <c r="A34">
        <f>'Raw Data'!A34</f>
        <v/>
      </c>
      <c r="B34">
        <f>'Raw Data'!B34</f>
        <v/>
      </c>
      <c r="C34" s="18">
        <f>'Raw Data'!J34/'Raw Data'!H34</f>
        <v/>
      </c>
      <c r="D34" s="18">
        <f>'Raw Data'!H34/'Raw Data'!W34</f>
        <v/>
      </c>
      <c r="E34" s="12">
        <f>'Raw Data'!W34/'Raw Data'!C34</f>
        <v/>
      </c>
      <c r="F34" s="18">
        <f>'Raw Data'!C34/'Raw Data'!N34</f>
        <v/>
      </c>
      <c r="G34" s="18">
        <f>'Raw Data'!N34/'Raw Data'!Y34</f>
        <v/>
      </c>
      <c r="H34" s="19">
        <f>C34*D34*E34*F34*G34</f>
        <v/>
      </c>
      <c r="I34" s="12">
        <f>'Ratio Analysis'!C34</f>
        <v/>
      </c>
      <c r="J34">
        <f>IF(ABS(H34-I34)&lt;0.0001,"✓","⚠")</f>
        <v/>
      </c>
    </row>
    <row r="35">
      <c r="A35">
        <f>'Raw Data'!A35</f>
        <v/>
      </c>
      <c r="B35">
        <f>'Raw Data'!B35</f>
        <v/>
      </c>
      <c r="C35" s="18">
        <f>'Raw Data'!J35/'Raw Data'!H35</f>
        <v/>
      </c>
      <c r="D35" s="18">
        <f>'Raw Data'!H35/'Raw Data'!W35</f>
        <v/>
      </c>
      <c r="E35" s="12">
        <f>'Raw Data'!W35/'Raw Data'!C35</f>
        <v/>
      </c>
      <c r="F35" s="18">
        <f>'Raw Data'!C35/'Raw Data'!N35</f>
        <v/>
      </c>
      <c r="G35" s="18">
        <f>'Raw Data'!N35/'Raw Data'!Y35</f>
        <v/>
      </c>
      <c r="H35" s="19">
        <f>C35*D35*E35*F35*G35</f>
        <v/>
      </c>
      <c r="I35" s="12">
        <f>'Ratio Analysis'!C35</f>
        <v/>
      </c>
      <c r="J35">
        <f>IF(ABS(H35-I35)&lt;0.0001,"✓","⚠")</f>
        <v/>
      </c>
    </row>
    <row r="36">
      <c r="A36">
        <f>'Raw Data'!A36</f>
        <v/>
      </c>
      <c r="B36">
        <f>'Raw Data'!B36</f>
        <v/>
      </c>
      <c r="C36" s="18">
        <f>'Raw Data'!J36/'Raw Data'!H36</f>
        <v/>
      </c>
      <c r="D36" s="18">
        <f>'Raw Data'!H36/'Raw Data'!W36</f>
        <v/>
      </c>
      <c r="E36" s="12">
        <f>'Raw Data'!W36/'Raw Data'!C36</f>
        <v/>
      </c>
      <c r="F36" s="18">
        <f>'Raw Data'!C36/'Raw Data'!N36</f>
        <v/>
      </c>
      <c r="G36" s="18">
        <f>'Raw Data'!N36/'Raw Data'!Y36</f>
        <v/>
      </c>
      <c r="H36" s="19">
        <f>C36*D36*E36*F36*G36</f>
        <v/>
      </c>
      <c r="I36" s="12">
        <f>'Ratio Analysis'!C36</f>
        <v/>
      </c>
      <c r="J36">
        <f>IF(ABS(H36-I36)&lt;0.0001,"✓","⚠")</f>
        <v/>
      </c>
    </row>
    <row r="37">
      <c r="A37">
        <f>'Raw Data'!A37</f>
        <v/>
      </c>
      <c r="B37">
        <f>'Raw Data'!B37</f>
        <v/>
      </c>
      <c r="C37" s="18">
        <f>'Raw Data'!J37/'Raw Data'!H37</f>
        <v/>
      </c>
      <c r="D37" s="18">
        <f>'Raw Data'!H37/'Raw Data'!W37</f>
        <v/>
      </c>
      <c r="E37" s="12">
        <f>'Raw Data'!W37/'Raw Data'!C37</f>
        <v/>
      </c>
      <c r="F37" s="18">
        <f>'Raw Data'!C37/'Raw Data'!N37</f>
        <v/>
      </c>
      <c r="G37" s="18">
        <f>'Raw Data'!N37/'Raw Data'!Y37</f>
        <v/>
      </c>
      <c r="H37" s="19">
        <f>C37*D37*E37*F37*G37</f>
        <v/>
      </c>
      <c r="I37" s="12">
        <f>'Ratio Analysis'!C37</f>
        <v/>
      </c>
      <c r="J37">
        <f>IF(ABS(H37-I37)&lt;0.0001,"✓","⚠")</f>
        <v/>
      </c>
    </row>
    <row r="38">
      <c r="A38">
        <f>'Raw Data'!A38</f>
        <v/>
      </c>
      <c r="B38">
        <f>'Raw Data'!B38</f>
        <v/>
      </c>
      <c r="C38" s="18">
        <f>'Raw Data'!J38/'Raw Data'!H38</f>
        <v/>
      </c>
      <c r="D38" s="18">
        <f>'Raw Data'!H38/'Raw Data'!W38</f>
        <v/>
      </c>
      <c r="E38" s="12">
        <f>'Raw Data'!W38/'Raw Data'!C38</f>
        <v/>
      </c>
      <c r="F38" s="18">
        <f>'Raw Data'!C38/'Raw Data'!N38</f>
        <v/>
      </c>
      <c r="G38" s="18">
        <f>'Raw Data'!N38/'Raw Data'!Y38</f>
        <v/>
      </c>
      <c r="H38" s="19">
        <f>C38*D38*E38*F38*G38</f>
        <v/>
      </c>
      <c r="I38" s="12">
        <f>'Ratio Analysis'!C38</f>
        <v/>
      </c>
      <c r="J38">
        <f>IF(ABS(H38-I38)&lt;0.0001,"✓","⚠")</f>
        <v/>
      </c>
    </row>
    <row r="39">
      <c r="A39">
        <f>'Raw Data'!A39</f>
        <v/>
      </c>
      <c r="B39">
        <f>'Raw Data'!B39</f>
        <v/>
      </c>
      <c r="C39" s="18">
        <f>'Raw Data'!J39/'Raw Data'!H39</f>
        <v/>
      </c>
      <c r="D39" s="18">
        <f>'Raw Data'!H39/'Raw Data'!W39</f>
        <v/>
      </c>
      <c r="E39" s="12">
        <f>'Raw Data'!W39/'Raw Data'!C39</f>
        <v/>
      </c>
      <c r="F39" s="18">
        <f>'Raw Data'!C39/'Raw Data'!N39</f>
        <v/>
      </c>
      <c r="G39" s="18">
        <f>'Raw Data'!N39/'Raw Data'!Y39</f>
        <v/>
      </c>
      <c r="H39" s="19">
        <f>C39*D39*E39*F39*G39</f>
        <v/>
      </c>
      <c r="I39" s="12">
        <f>'Ratio Analysis'!C39</f>
        <v/>
      </c>
      <c r="J39">
        <f>IF(ABS(H39-I39)&lt;0.0001,"✓","⚠")</f>
        <v/>
      </c>
    </row>
    <row r="40">
      <c r="A40">
        <f>'Raw Data'!A40</f>
        <v/>
      </c>
      <c r="B40">
        <f>'Raw Data'!B40</f>
        <v/>
      </c>
      <c r="C40" s="18">
        <f>'Raw Data'!J40/'Raw Data'!H40</f>
        <v/>
      </c>
      <c r="D40" s="18">
        <f>'Raw Data'!H40/'Raw Data'!W40</f>
        <v/>
      </c>
      <c r="E40" s="12">
        <f>'Raw Data'!W40/'Raw Data'!C40</f>
        <v/>
      </c>
      <c r="F40" s="18">
        <f>'Raw Data'!C40/'Raw Data'!N40</f>
        <v/>
      </c>
      <c r="G40" s="18">
        <f>'Raw Data'!N40/'Raw Data'!Y40</f>
        <v/>
      </c>
      <c r="H40" s="19">
        <f>C40*D40*E40*F40*G40</f>
        <v/>
      </c>
      <c r="I40" s="12">
        <f>'Ratio Analysis'!C40</f>
        <v/>
      </c>
      <c r="J40">
        <f>IF(ABS(H40-I40)&lt;0.0001,"✓","⚠")</f>
        <v/>
      </c>
    </row>
    <row r="41">
      <c r="A41">
        <f>'Raw Data'!A41</f>
        <v/>
      </c>
      <c r="B41">
        <f>'Raw Data'!B41</f>
        <v/>
      </c>
      <c r="C41" s="18">
        <f>'Raw Data'!J41/'Raw Data'!H41</f>
        <v/>
      </c>
      <c r="D41" s="18">
        <f>'Raw Data'!H41/'Raw Data'!W41</f>
        <v/>
      </c>
      <c r="E41" s="12">
        <f>'Raw Data'!W41/'Raw Data'!C41</f>
        <v/>
      </c>
      <c r="F41" s="18">
        <f>'Raw Data'!C41/'Raw Data'!N41</f>
        <v/>
      </c>
      <c r="G41" s="18">
        <f>'Raw Data'!N41/'Raw Data'!Y41</f>
        <v/>
      </c>
      <c r="H41" s="19">
        <f>C41*D41*E41*F41*G41</f>
        <v/>
      </c>
      <c r="I41" s="12">
        <f>'Ratio Analysis'!C41</f>
        <v/>
      </c>
      <c r="J41">
        <f>IF(ABS(H41-I41)&lt;0.0001,"✓","⚠")</f>
        <v/>
      </c>
    </row>
    <row r="42"/>
    <row r="43">
      <c r="A43" s="2" t="inlineStr">
        <is>
          <t>5-step DuPont: ROE = TaxBurden × IntBurden × EBITMargin × AssetTurnover × EqMultiplier. EBIT = PBT + Interest, so the identity is exact — Check must read ✓ on every row. Segments below zero in the chart (ln of components &lt; 1) drag ROE down.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2" customWidth="1" min="4" max="4"/>
    <col width="15" customWidth="1" min="5" max="5"/>
    <col width="9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9" t="inlineStr">
        <is>
          <t>Company</t>
        </is>
      </c>
      <c r="B1" s="9" t="inlineStr">
        <is>
          <t>Year</t>
        </is>
      </c>
      <c r="C1" s="9" t="inlineStr">
        <is>
          <t>DebtToEquity</t>
        </is>
      </c>
      <c r="D1" s="9" t="inlineStr">
        <is>
          <t>DebtRatio</t>
        </is>
      </c>
      <c r="E1" s="9" t="inlineStr">
        <is>
          <t>InterestCoverage</t>
        </is>
      </c>
      <c r="F1" s="9" t="inlineStr">
        <is>
          <t>Band</t>
        </is>
      </c>
      <c r="H1" s="2" t="inlineStr">
        <is>
          <t>band edges</t>
        </is>
      </c>
      <c r="K1" s="17" t="inlineStr">
        <is>
          <t>D/E pivot</t>
        </is>
      </c>
    </row>
    <row r="2">
      <c r="A2">
        <f>'Raw Data'!A2</f>
        <v/>
      </c>
      <c r="B2">
        <f>'Raw Data'!B2</f>
        <v/>
      </c>
      <c r="C2" s="20">
        <f>'Raw Data'!M2/'Raw Data'!Y2</f>
        <v/>
      </c>
      <c r="D2" s="20">
        <f>'Raw Data'!M2/'Raw Data'!N2</f>
        <v/>
      </c>
      <c r="E2" s="14">
        <f>IF('Raw Data'!F2=0,NA(),'Raw Data'!W2/'Raw Data'!F2)</f>
        <v/>
      </c>
      <c r="F2">
        <f>IF(C2&lt;$I$2,"Low",IF(C2&lt;=$I$3,"Mid","High"))</f>
        <v/>
      </c>
      <c r="H2" t="inlineStr">
        <is>
          <t>Low ≤</t>
        </is>
      </c>
      <c r="I2" s="21" t="n">
        <v>0.3</v>
      </c>
      <c r="L2" s="4">
        <f>'Raw Data'!A2</f>
        <v/>
      </c>
      <c r="M2" s="4">
        <f>'Raw Data'!A7</f>
        <v/>
      </c>
      <c r="N2" s="4">
        <f>'Raw Data'!A12</f>
        <v/>
      </c>
      <c r="O2" s="4">
        <f>'Raw Data'!A17</f>
        <v/>
      </c>
      <c r="P2" s="4">
        <f>'Raw Data'!A22</f>
        <v/>
      </c>
      <c r="Q2" s="4">
        <f>'Raw Data'!A27</f>
        <v/>
      </c>
      <c r="R2" s="4">
        <f>'Raw Data'!A32</f>
        <v/>
      </c>
      <c r="S2" s="4">
        <f>'Raw Data'!A37</f>
        <v/>
      </c>
    </row>
    <row r="3">
      <c r="A3">
        <f>'Raw Data'!A3</f>
        <v/>
      </c>
      <c r="B3">
        <f>'Raw Data'!B3</f>
        <v/>
      </c>
      <c r="C3" s="20">
        <f>'Raw Data'!M3/'Raw Data'!Y3</f>
        <v/>
      </c>
      <c r="D3" s="20">
        <f>'Raw Data'!M3/'Raw Data'!N3</f>
        <v/>
      </c>
      <c r="E3" s="14">
        <f>IF('Raw Data'!F3=0,NA(),'Raw Data'!W3/'Raw Data'!F3)</f>
        <v/>
      </c>
      <c r="F3">
        <f>IF(C3&lt;$I$2,"Low",IF(C3&lt;=$I$3,"Mid","High"))</f>
        <v/>
      </c>
      <c r="H3" t="inlineStr">
        <is>
          <t>Mid ≤</t>
        </is>
      </c>
      <c r="I3" s="21" t="n">
        <v>0.7</v>
      </c>
      <c r="K3" s="4" t="inlineStr">
        <is>
          <t>FY2022</t>
        </is>
      </c>
      <c r="L3" s="20">
        <f>C2</f>
        <v/>
      </c>
      <c r="M3" s="20">
        <f>C7</f>
        <v/>
      </c>
      <c r="N3" s="20">
        <f>C12</f>
        <v/>
      </c>
      <c r="O3" s="20">
        <f>C17</f>
        <v/>
      </c>
      <c r="P3" s="20">
        <f>C22</f>
        <v/>
      </c>
      <c r="Q3" s="20">
        <f>C27</f>
        <v/>
      </c>
      <c r="R3" s="20">
        <f>C32</f>
        <v/>
      </c>
      <c r="S3" s="20">
        <f>C37</f>
        <v/>
      </c>
    </row>
    <row r="4">
      <c r="A4">
        <f>'Raw Data'!A4</f>
        <v/>
      </c>
      <c r="B4">
        <f>'Raw Data'!B4</f>
        <v/>
      </c>
      <c r="C4" s="20">
        <f>'Raw Data'!M4/'Raw Data'!Y4</f>
        <v/>
      </c>
      <c r="D4" s="20">
        <f>'Raw Data'!M4/'Raw Data'!N4</f>
        <v/>
      </c>
      <c r="E4" s="14">
        <f>IF('Raw Data'!F4=0,NA(),'Raw Data'!W4/'Raw Data'!F4)</f>
        <v/>
      </c>
      <c r="F4">
        <f>IF(C4&lt;$I$2,"Low",IF(C4&lt;=$I$3,"Mid","High"))</f>
        <v/>
      </c>
      <c r="K4" s="4" t="inlineStr">
        <is>
          <t>FY2023</t>
        </is>
      </c>
      <c r="L4" s="20">
        <f>C3</f>
        <v/>
      </c>
      <c r="M4" s="20">
        <f>C8</f>
        <v/>
      </c>
      <c r="N4" s="20">
        <f>C13</f>
        <v/>
      </c>
      <c r="O4" s="20">
        <f>C18</f>
        <v/>
      </c>
      <c r="P4" s="20">
        <f>C23</f>
        <v/>
      </c>
      <c r="Q4" s="20">
        <f>C28</f>
        <v/>
      </c>
      <c r="R4" s="20">
        <f>C33</f>
        <v/>
      </c>
      <c r="S4" s="20">
        <f>C38</f>
        <v/>
      </c>
    </row>
    <row r="5">
      <c r="A5">
        <f>'Raw Data'!A5</f>
        <v/>
      </c>
      <c r="B5">
        <f>'Raw Data'!B5</f>
        <v/>
      </c>
      <c r="C5" s="20">
        <f>'Raw Data'!M5/'Raw Data'!Y5</f>
        <v/>
      </c>
      <c r="D5" s="20">
        <f>'Raw Data'!M5/'Raw Data'!N5</f>
        <v/>
      </c>
      <c r="E5" s="14">
        <f>IF('Raw Data'!F5=0,NA(),'Raw Data'!W5/'Raw Data'!F5)</f>
        <v/>
      </c>
      <c r="F5">
        <f>IF(C5&lt;$I$2,"Low",IF(C5&lt;=$I$3,"Mid","High"))</f>
        <v/>
      </c>
      <c r="K5" s="4" t="inlineStr">
        <is>
          <t>FY2024</t>
        </is>
      </c>
      <c r="L5" s="20">
        <f>C4</f>
        <v/>
      </c>
      <c r="M5" s="20">
        <f>C9</f>
        <v/>
      </c>
      <c r="N5" s="20">
        <f>C14</f>
        <v/>
      </c>
      <c r="O5" s="20">
        <f>C19</f>
        <v/>
      </c>
      <c r="P5" s="20">
        <f>C24</f>
        <v/>
      </c>
      <c r="Q5" s="20">
        <f>C29</f>
        <v/>
      </c>
      <c r="R5" s="20">
        <f>C34</f>
        <v/>
      </c>
      <c r="S5" s="20">
        <f>C39</f>
        <v/>
      </c>
    </row>
    <row r="6">
      <c r="A6">
        <f>'Raw Data'!A6</f>
        <v/>
      </c>
      <c r="B6">
        <f>'Raw Data'!B6</f>
        <v/>
      </c>
      <c r="C6" s="20">
        <f>'Raw Data'!M6/'Raw Data'!Y6</f>
        <v/>
      </c>
      <c r="D6" s="20">
        <f>'Raw Data'!M6/'Raw Data'!N6</f>
        <v/>
      </c>
      <c r="E6" s="14">
        <f>IF('Raw Data'!F6=0,NA(),'Raw Data'!W6/'Raw Data'!F6)</f>
        <v/>
      </c>
      <c r="F6">
        <f>IF(C6&lt;$I$2,"Low",IF(C6&lt;=$I$3,"Mid","High"))</f>
        <v/>
      </c>
      <c r="K6" s="4" t="inlineStr">
        <is>
          <t>FY2025</t>
        </is>
      </c>
      <c r="L6" s="20">
        <f>C5</f>
        <v/>
      </c>
      <c r="M6" s="20">
        <f>C10</f>
        <v/>
      </c>
      <c r="N6" s="20">
        <f>C15</f>
        <v/>
      </c>
      <c r="O6" s="20">
        <f>C20</f>
        <v/>
      </c>
      <c r="P6" s="20">
        <f>C25</f>
        <v/>
      </c>
      <c r="Q6" s="20">
        <f>C30</f>
        <v/>
      </c>
      <c r="R6" s="20">
        <f>C35</f>
        <v/>
      </c>
      <c r="S6" s="20">
        <f>C40</f>
        <v/>
      </c>
    </row>
    <row r="7">
      <c r="A7">
        <f>'Raw Data'!A7</f>
        <v/>
      </c>
      <c r="B7">
        <f>'Raw Data'!B7</f>
        <v/>
      </c>
      <c r="C7" s="20">
        <f>'Raw Data'!M7/'Raw Data'!Y7</f>
        <v/>
      </c>
      <c r="D7" s="20">
        <f>'Raw Data'!M7/'Raw Data'!N7</f>
        <v/>
      </c>
      <c r="E7" s="14">
        <f>IF('Raw Data'!F7=0,NA(),'Raw Data'!W7/'Raw Data'!F7)</f>
        <v/>
      </c>
      <c r="F7">
        <f>IF(C7&lt;$I$2,"Low",IF(C7&lt;=$I$3,"Mid","High"))</f>
        <v/>
      </c>
      <c r="K7" s="4" t="inlineStr">
        <is>
          <t>FY2026</t>
        </is>
      </c>
      <c r="L7" s="20">
        <f>C6</f>
        <v/>
      </c>
      <c r="M7" s="20">
        <f>C11</f>
        <v/>
      </c>
      <c r="N7" s="20">
        <f>C16</f>
        <v/>
      </c>
      <c r="O7" s="20">
        <f>C21</f>
        <v/>
      </c>
      <c r="P7" s="20">
        <f>C26</f>
        <v/>
      </c>
      <c r="Q7" s="20">
        <f>C31</f>
        <v/>
      </c>
      <c r="R7" s="20">
        <f>C36</f>
        <v/>
      </c>
      <c r="S7" s="20">
        <f>C41</f>
        <v/>
      </c>
    </row>
    <row r="8">
      <c r="A8">
        <f>'Raw Data'!A8</f>
        <v/>
      </c>
      <c r="B8">
        <f>'Raw Data'!B8</f>
        <v/>
      </c>
      <c r="C8" s="20">
        <f>'Raw Data'!M8/'Raw Data'!Y8</f>
        <v/>
      </c>
      <c r="D8" s="20">
        <f>'Raw Data'!M8/'Raw Data'!N8</f>
        <v/>
      </c>
      <c r="E8" s="14">
        <f>IF('Raw Data'!F8=0,NA(),'Raw Data'!W8/'Raw Data'!F8)</f>
        <v/>
      </c>
      <c r="F8">
        <f>IF(C8&lt;$I$2,"Low",IF(C8&lt;=$I$3,"Mid","High"))</f>
        <v/>
      </c>
    </row>
    <row r="9">
      <c r="A9">
        <f>'Raw Data'!A9</f>
        <v/>
      </c>
      <c r="B9">
        <f>'Raw Data'!B9</f>
        <v/>
      </c>
      <c r="C9" s="20">
        <f>'Raw Data'!M9/'Raw Data'!Y9</f>
        <v/>
      </c>
      <c r="D9" s="20">
        <f>'Raw Data'!M9/'Raw Data'!N9</f>
        <v/>
      </c>
      <c r="E9" s="14">
        <f>IF('Raw Data'!F9=0,NA(),'Raw Data'!W9/'Raw Data'!F9)</f>
        <v/>
      </c>
      <c r="F9">
        <f>IF(C9&lt;$I$2,"Low",IF(C9&lt;=$I$3,"Mid","High"))</f>
        <v/>
      </c>
    </row>
    <row r="10">
      <c r="A10">
        <f>'Raw Data'!A10</f>
        <v/>
      </c>
      <c r="B10">
        <f>'Raw Data'!B10</f>
        <v/>
      </c>
      <c r="C10" s="20">
        <f>'Raw Data'!M10/'Raw Data'!Y10</f>
        <v/>
      </c>
      <c r="D10" s="20">
        <f>'Raw Data'!M10/'Raw Data'!N10</f>
        <v/>
      </c>
      <c r="E10" s="14">
        <f>IF('Raw Data'!F10=0,NA(),'Raw Data'!W10/'Raw Data'!F10)</f>
        <v/>
      </c>
      <c r="F10">
        <f>IF(C10&lt;$I$2,"Low",IF(C10&lt;=$I$3,"Mid","High"))</f>
        <v/>
      </c>
      <c r="K10" s="17" t="inlineStr">
        <is>
          <t>InterestCoverage pivot</t>
        </is>
      </c>
    </row>
    <row r="11">
      <c r="A11">
        <f>'Raw Data'!A11</f>
        <v/>
      </c>
      <c r="B11">
        <f>'Raw Data'!B11</f>
        <v/>
      </c>
      <c r="C11" s="20">
        <f>'Raw Data'!M11/'Raw Data'!Y11</f>
        <v/>
      </c>
      <c r="D11" s="20">
        <f>'Raw Data'!M11/'Raw Data'!N11</f>
        <v/>
      </c>
      <c r="E11" s="14">
        <f>IF('Raw Data'!F11=0,NA(),'Raw Data'!W11/'Raw Data'!F11)</f>
        <v/>
      </c>
      <c r="F11">
        <f>IF(C11&lt;$I$2,"Low",IF(C11&lt;=$I$3,"Mid","High"))</f>
        <v/>
      </c>
      <c r="L11" s="4">
        <f>'Raw Data'!A2</f>
        <v/>
      </c>
      <c r="M11" s="4">
        <f>'Raw Data'!A7</f>
        <v/>
      </c>
      <c r="N11" s="4">
        <f>'Raw Data'!A12</f>
        <v/>
      </c>
      <c r="O11" s="4">
        <f>'Raw Data'!A17</f>
        <v/>
      </c>
      <c r="P11" s="4">
        <f>'Raw Data'!A22</f>
        <v/>
      </c>
      <c r="Q11" s="4">
        <f>'Raw Data'!A27</f>
        <v/>
      </c>
      <c r="R11" s="4">
        <f>'Raw Data'!A32</f>
        <v/>
      </c>
      <c r="S11" s="4">
        <f>'Raw Data'!A37</f>
        <v/>
      </c>
    </row>
    <row r="12">
      <c r="A12">
        <f>'Raw Data'!A12</f>
        <v/>
      </c>
      <c r="B12">
        <f>'Raw Data'!B12</f>
        <v/>
      </c>
      <c r="C12" s="20">
        <f>'Raw Data'!M12/'Raw Data'!Y12</f>
        <v/>
      </c>
      <c r="D12" s="20">
        <f>'Raw Data'!M12/'Raw Data'!N12</f>
        <v/>
      </c>
      <c r="E12" s="14">
        <f>IF('Raw Data'!F12=0,NA(),'Raw Data'!W12/'Raw Data'!F12)</f>
        <v/>
      </c>
      <c r="F12">
        <f>IF(C12&lt;$I$2,"Low",IF(C12&lt;=$I$3,"Mid","High"))</f>
        <v/>
      </c>
      <c r="K12" s="4" t="inlineStr">
        <is>
          <t>FY2022</t>
        </is>
      </c>
      <c r="L12" s="13">
        <f>E2</f>
        <v/>
      </c>
      <c r="M12" s="13">
        <f>E7</f>
        <v/>
      </c>
      <c r="N12" s="13">
        <f>E12</f>
        <v/>
      </c>
      <c r="O12" s="13">
        <f>E17</f>
        <v/>
      </c>
      <c r="P12" s="13">
        <f>E22</f>
        <v/>
      </c>
      <c r="Q12" s="13">
        <f>E27</f>
        <v/>
      </c>
      <c r="R12" s="13">
        <f>E32</f>
        <v/>
      </c>
      <c r="S12" s="13">
        <f>E37</f>
        <v/>
      </c>
    </row>
    <row r="13">
      <c r="A13">
        <f>'Raw Data'!A13</f>
        <v/>
      </c>
      <c r="B13">
        <f>'Raw Data'!B13</f>
        <v/>
      </c>
      <c r="C13" s="20">
        <f>'Raw Data'!M13/'Raw Data'!Y13</f>
        <v/>
      </c>
      <c r="D13" s="20">
        <f>'Raw Data'!M13/'Raw Data'!N13</f>
        <v/>
      </c>
      <c r="E13" s="14">
        <f>IF('Raw Data'!F13=0,NA(),'Raw Data'!W13/'Raw Data'!F13)</f>
        <v/>
      </c>
      <c r="F13">
        <f>IF(C13&lt;$I$2,"Low",IF(C13&lt;=$I$3,"Mid","High"))</f>
        <v/>
      </c>
      <c r="K13" s="4" t="inlineStr">
        <is>
          <t>FY2023</t>
        </is>
      </c>
      <c r="L13" s="13">
        <f>E3</f>
        <v/>
      </c>
      <c r="M13" s="13">
        <f>E8</f>
        <v/>
      </c>
      <c r="N13" s="13">
        <f>E13</f>
        <v/>
      </c>
      <c r="O13" s="13">
        <f>E18</f>
        <v/>
      </c>
      <c r="P13" s="13">
        <f>E23</f>
        <v/>
      </c>
      <c r="Q13" s="13">
        <f>E28</f>
        <v/>
      </c>
      <c r="R13" s="13">
        <f>E33</f>
        <v/>
      </c>
      <c r="S13" s="13">
        <f>E38</f>
        <v/>
      </c>
    </row>
    <row r="14">
      <c r="A14">
        <f>'Raw Data'!A14</f>
        <v/>
      </c>
      <c r="B14">
        <f>'Raw Data'!B14</f>
        <v/>
      </c>
      <c r="C14" s="20">
        <f>'Raw Data'!M14/'Raw Data'!Y14</f>
        <v/>
      </c>
      <c r="D14" s="20">
        <f>'Raw Data'!M14/'Raw Data'!N14</f>
        <v/>
      </c>
      <c r="E14" s="14">
        <f>IF('Raw Data'!F14=0,NA(),'Raw Data'!W14/'Raw Data'!F14)</f>
        <v/>
      </c>
      <c r="F14">
        <f>IF(C14&lt;$I$2,"Low",IF(C14&lt;=$I$3,"Mid","High"))</f>
        <v/>
      </c>
      <c r="K14" s="4" t="inlineStr">
        <is>
          <t>FY2024</t>
        </is>
      </c>
      <c r="L14" s="13">
        <f>E4</f>
        <v/>
      </c>
      <c r="M14" s="13">
        <f>E9</f>
        <v/>
      </c>
      <c r="N14" s="13">
        <f>E14</f>
        <v/>
      </c>
      <c r="O14" s="13">
        <f>E19</f>
        <v/>
      </c>
      <c r="P14" s="13">
        <f>E24</f>
        <v/>
      </c>
      <c r="Q14" s="13">
        <f>E29</f>
        <v/>
      </c>
      <c r="R14" s="13">
        <f>E34</f>
        <v/>
      </c>
      <c r="S14" s="13">
        <f>E39</f>
        <v/>
      </c>
    </row>
    <row r="15">
      <c r="A15">
        <f>'Raw Data'!A15</f>
        <v/>
      </c>
      <c r="B15">
        <f>'Raw Data'!B15</f>
        <v/>
      </c>
      <c r="C15" s="20">
        <f>'Raw Data'!M15/'Raw Data'!Y15</f>
        <v/>
      </c>
      <c r="D15" s="20">
        <f>'Raw Data'!M15/'Raw Data'!N15</f>
        <v/>
      </c>
      <c r="E15" s="14">
        <f>IF('Raw Data'!F15=0,NA(),'Raw Data'!W15/'Raw Data'!F15)</f>
        <v/>
      </c>
      <c r="F15">
        <f>IF(C15&lt;$I$2,"Low",IF(C15&lt;=$I$3,"Mid","High"))</f>
        <v/>
      </c>
      <c r="K15" s="4" t="inlineStr">
        <is>
          <t>FY2025</t>
        </is>
      </c>
      <c r="L15" s="13">
        <f>E5</f>
        <v/>
      </c>
      <c r="M15" s="13">
        <f>E10</f>
        <v/>
      </c>
      <c r="N15" s="13">
        <f>E15</f>
        <v/>
      </c>
      <c r="O15" s="13">
        <f>E20</f>
        <v/>
      </c>
      <c r="P15" s="13">
        <f>E25</f>
        <v/>
      </c>
      <c r="Q15" s="13">
        <f>E30</f>
        <v/>
      </c>
      <c r="R15" s="13">
        <f>E35</f>
        <v/>
      </c>
      <c r="S15" s="13">
        <f>E40</f>
        <v/>
      </c>
    </row>
    <row r="16">
      <c r="A16">
        <f>'Raw Data'!A16</f>
        <v/>
      </c>
      <c r="B16">
        <f>'Raw Data'!B16</f>
        <v/>
      </c>
      <c r="C16" s="20">
        <f>'Raw Data'!M16/'Raw Data'!Y16</f>
        <v/>
      </c>
      <c r="D16" s="20">
        <f>'Raw Data'!M16/'Raw Data'!N16</f>
        <v/>
      </c>
      <c r="E16" s="14">
        <f>IF('Raw Data'!F16=0,NA(),'Raw Data'!W16/'Raw Data'!F16)</f>
        <v/>
      </c>
      <c r="F16">
        <f>IF(C16&lt;$I$2,"Low",IF(C16&lt;=$I$3,"Mid","High"))</f>
        <v/>
      </c>
      <c r="K16" s="4" t="inlineStr">
        <is>
          <t>FY2026</t>
        </is>
      </c>
      <c r="L16" s="13">
        <f>E6</f>
        <v/>
      </c>
      <c r="M16" s="13">
        <f>E11</f>
        <v/>
      </c>
      <c r="N16" s="13">
        <f>E16</f>
        <v/>
      </c>
      <c r="O16" s="13">
        <f>E21</f>
        <v/>
      </c>
      <c r="P16" s="13">
        <f>E26</f>
        <v/>
      </c>
      <c r="Q16" s="13">
        <f>E31</f>
        <v/>
      </c>
      <c r="R16" s="13">
        <f>E36</f>
        <v/>
      </c>
      <c r="S16" s="13">
        <f>E41</f>
        <v/>
      </c>
    </row>
    <row r="17">
      <c r="A17">
        <f>'Raw Data'!A17</f>
        <v/>
      </c>
      <c r="B17">
        <f>'Raw Data'!B17</f>
        <v/>
      </c>
      <c r="C17" s="20">
        <f>'Raw Data'!M17/'Raw Data'!Y17</f>
        <v/>
      </c>
      <c r="D17" s="20">
        <f>'Raw Data'!M17/'Raw Data'!N17</f>
        <v/>
      </c>
      <c r="E17" s="14">
        <f>IF('Raw Data'!F17=0,NA(),'Raw Data'!W17/'Raw Data'!F17)</f>
        <v/>
      </c>
      <c r="F17">
        <f>IF(C17&lt;$I$2,"Low",IF(C17&lt;=$I$3,"Mid","High"))</f>
        <v/>
      </c>
    </row>
    <row r="18">
      <c r="A18">
        <f>'Raw Data'!A18</f>
        <v/>
      </c>
      <c r="B18">
        <f>'Raw Data'!B18</f>
        <v/>
      </c>
      <c r="C18" s="20">
        <f>'Raw Data'!M18/'Raw Data'!Y18</f>
        <v/>
      </c>
      <c r="D18" s="20">
        <f>'Raw Data'!M18/'Raw Data'!N18</f>
        <v/>
      </c>
      <c r="E18" s="14">
        <f>IF('Raw Data'!F18=0,NA(),'Raw Data'!W18/'Raw Data'!F18)</f>
        <v/>
      </c>
      <c r="F18">
        <f>IF(C18&lt;$I$2,"Low",IF(C18&lt;=$I$3,"Mid","High"))</f>
        <v/>
      </c>
    </row>
    <row r="19">
      <c r="A19">
        <f>'Raw Data'!A19</f>
        <v/>
      </c>
      <c r="B19">
        <f>'Raw Data'!B19</f>
        <v/>
      </c>
      <c r="C19" s="20">
        <f>'Raw Data'!M19/'Raw Data'!Y19</f>
        <v/>
      </c>
      <c r="D19" s="20">
        <f>'Raw Data'!M19/'Raw Data'!N19</f>
        <v/>
      </c>
      <c r="E19" s="14">
        <f>IF('Raw Data'!F19=0,NA(),'Raw Data'!W19/'Raw Data'!F19)</f>
        <v/>
      </c>
      <c r="F19">
        <f>IF(C19&lt;$I$2,"Low",IF(C19&lt;=$I$3,"Mid","High"))</f>
        <v/>
      </c>
    </row>
    <row r="20">
      <c r="A20">
        <f>'Raw Data'!A20</f>
        <v/>
      </c>
      <c r="B20">
        <f>'Raw Data'!B20</f>
        <v/>
      </c>
      <c r="C20" s="20">
        <f>'Raw Data'!M20/'Raw Data'!Y20</f>
        <v/>
      </c>
      <c r="D20" s="20">
        <f>'Raw Data'!M20/'Raw Data'!N20</f>
        <v/>
      </c>
      <c r="E20" s="14">
        <f>IF('Raw Data'!F20=0,NA(),'Raw Data'!W20/'Raw Data'!F20)</f>
        <v/>
      </c>
      <c r="F20">
        <f>IF(C20&lt;$I$2,"Low",IF(C20&lt;=$I$3,"Mid","High"))</f>
        <v/>
      </c>
    </row>
    <row r="21">
      <c r="A21">
        <f>'Raw Data'!A21</f>
        <v/>
      </c>
      <c r="B21">
        <f>'Raw Data'!B21</f>
        <v/>
      </c>
      <c r="C21" s="20">
        <f>'Raw Data'!M21/'Raw Data'!Y21</f>
        <v/>
      </c>
      <c r="D21" s="20">
        <f>'Raw Data'!M21/'Raw Data'!N21</f>
        <v/>
      </c>
      <c r="E21" s="14">
        <f>IF('Raw Data'!F21=0,NA(),'Raw Data'!W21/'Raw Data'!F21)</f>
        <v/>
      </c>
      <c r="F21">
        <f>IF(C21&lt;$I$2,"Low",IF(C21&lt;=$I$3,"Mid","High"))</f>
        <v/>
      </c>
    </row>
    <row r="22">
      <c r="A22">
        <f>'Raw Data'!A22</f>
        <v/>
      </c>
      <c r="B22">
        <f>'Raw Data'!B22</f>
        <v/>
      </c>
      <c r="C22" s="20">
        <f>'Raw Data'!M22/'Raw Data'!Y22</f>
        <v/>
      </c>
      <c r="D22" s="20">
        <f>'Raw Data'!M22/'Raw Data'!N22</f>
        <v/>
      </c>
      <c r="E22" s="14">
        <f>IF('Raw Data'!F22=0,NA(),'Raw Data'!W22/'Raw Data'!F22)</f>
        <v/>
      </c>
      <c r="F22">
        <f>IF(C22&lt;$I$2,"Low",IF(C22&lt;=$I$3,"Mid","High"))</f>
        <v/>
      </c>
    </row>
    <row r="23">
      <c r="A23">
        <f>'Raw Data'!A23</f>
        <v/>
      </c>
      <c r="B23">
        <f>'Raw Data'!B23</f>
        <v/>
      </c>
      <c r="C23" s="20">
        <f>'Raw Data'!M23/'Raw Data'!Y23</f>
        <v/>
      </c>
      <c r="D23" s="20">
        <f>'Raw Data'!M23/'Raw Data'!N23</f>
        <v/>
      </c>
      <c r="E23" s="14">
        <f>IF('Raw Data'!F23=0,NA(),'Raw Data'!W23/'Raw Data'!F23)</f>
        <v/>
      </c>
      <c r="F23">
        <f>IF(C23&lt;$I$2,"Low",IF(C23&lt;=$I$3,"Mid","High"))</f>
        <v/>
      </c>
    </row>
    <row r="24">
      <c r="A24">
        <f>'Raw Data'!A24</f>
        <v/>
      </c>
      <c r="B24">
        <f>'Raw Data'!B24</f>
        <v/>
      </c>
      <c r="C24" s="20">
        <f>'Raw Data'!M24/'Raw Data'!Y24</f>
        <v/>
      </c>
      <c r="D24" s="20">
        <f>'Raw Data'!M24/'Raw Data'!N24</f>
        <v/>
      </c>
      <c r="E24" s="14">
        <f>IF('Raw Data'!F24=0,NA(),'Raw Data'!W24/'Raw Data'!F24)</f>
        <v/>
      </c>
      <c r="F24">
        <f>IF(C24&lt;$I$2,"Low",IF(C24&lt;=$I$3,"Mid","High"))</f>
        <v/>
      </c>
    </row>
    <row r="25">
      <c r="A25">
        <f>'Raw Data'!A25</f>
        <v/>
      </c>
      <c r="B25">
        <f>'Raw Data'!B25</f>
        <v/>
      </c>
      <c r="C25" s="20">
        <f>'Raw Data'!M25/'Raw Data'!Y25</f>
        <v/>
      </c>
      <c r="D25" s="20">
        <f>'Raw Data'!M25/'Raw Data'!N25</f>
        <v/>
      </c>
      <c r="E25" s="14">
        <f>IF('Raw Data'!F25=0,NA(),'Raw Data'!W25/'Raw Data'!F25)</f>
        <v/>
      </c>
      <c r="F25">
        <f>IF(C25&lt;$I$2,"Low",IF(C25&lt;=$I$3,"Mid","High"))</f>
        <v/>
      </c>
    </row>
    <row r="26">
      <c r="A26">
        <f>'Raw Data'!A26</f>
        <v/>
      </c>
      <c r="B26">
        <f>'Raw Data'!B26</f>
        <v/>
      </c>
      <c r="C26" s="20">
        <f>'Raw Data'!M26/'Raw Data'!Y26</f>
        <v/>
      </c>
      <c r="D26" s="20">
        <f>'Raw Data'!M26/'Raw Data'!N26</f>
        <v/>
      </c>
      <c r="E26" s="14">
        <f>IF('Raw Data'!F26=0,NA(),'Raw Data'!W26/'Raw Data'!F26)</f>
        <v/>
      </c>
      <c r="F26">
        <f>IF(C26&lt;$I$2,"Low",IF(C26&lt;=$I$3,"Mid","High"))</f>
        <v/>
      </c>
    </row>
    <row r="27">
      <c r="A27">
        <f>'Raw Data'!A27</f>
        <v/>
      </c>
      <c r="B27">
        <f>'Raw Data'!B27</f>
        <v/>
      </c>
      <c r="C27" s="20">
        <f>'Raw Data'!M27/'Raw Data'!Y27</f>
        <v/>
      </c>
      <c r="D27" s="20">
        <f>'Raw Data'!M27/'Raw Data'!N27</f>
        <v/>
      </c>
      <c r="E27" s="14">
        <f>IF('Raw Data'!F27=0,NA(),'Raw Data'!W27/'Raw Data'!F27)</f>
        <v/>
      </c>
      <c r="F27">
        <f>IF(C27&lt;$I$2,"Low",IF(C27&lt;=$I$3,"Mid","High"))</f>
        <v/>
      </c>
    </row>
    <row r="28">
      <c r="A28">
        <f>'Raw Data'!A28</f>
        <v/>
      </c>
      <c r="B28">
        <f>'Raw Data'!B28</f>
        <v/>
      </c>
      <c r="C28" s="20">
        <f>'Raw Data'!M28/'Raw Data'!Y28</f>
        <v/>
      </c>
      <c r="D28" s="20">
        <f>'Raw Data'!M28/'Raw Data'!N28</f>
        <v/>
      </c>
      <c r="E28" s="14">
        <f>IF('Raw Data'!F28=0,NA(),'Raw Data'!W28/'Raw Data'!F28)</f>
        <v/>
      </c>
      <c r="F28">
        <f>IF(C28&lt;$I$2,"Low",IF(C28&lt;=$I$3,"Mid","High"))</f>
        <v/>
      </c>
    </row>
    <row r="29">
      <c r="A29">
        <f>'Raw Data'!A29</f>
        <v/>
      </c>
      <c r="B29">
        <f>'Raw Data'!B29</f>
        <v/>
      </c>
      <c r="C29" s="20">
        <f>'Raw Data'!M29/'Raw Data'!Y29</f>
        <v/>
      </c>
      <c r="D29" s="20">
        <f>'Raw Data'!M29/'Raw Data'!N29</f>
        <v/>
      </c>
      <c r="E29" s="14">
        <f>IF('Raw Data'!F29=0,NA(),'Raw Data'!W29/'Raw Data'!F29)</f>
        <v/>
      </c>
      <c r="F29">
        <f>IF(C29&lt;$I$2,"Low",IF(C29&lt;=$I$3,"Mid","High"))</f>
        <v/>
      </c>
    </row>
    <row r="30">
      <c r="A30">
        <f>'Raw Data'!A30</f>
        <v/>
      </c>
      <c r="B30">
        <f>'Raw Data'!B30</f>
        <v/>
      </c>
      <c r="C30" s="20">
        <f>'Raw Data'!M30/'Raw Data'!Y30</f>
        <v/>
      </c>
      <c r="D30" s="20">
        <f>'Raw Data'!M30/'Raw Data'!N30</f>
        <v/>
      </c>
      <c r="E30" s="14">
        <f>IF('Raw Data'!F30=0,NA(),'Raw Data'!W30/'Raw Data'!F30)</f>
        <v/>
      </c>
      <c r="F30">
        <f>IF(C30&lt;$I$2,"Low",IF(C30&lt;=$I$3,"Mid","High"))</f>
        <v/>
      </c>
    </row>
    <row r="31">
      <c r="A31">
        <f>'Raw Data'!A31</f>
        <v/>
      </c>
      <c r="B31">
        <f>'Raw Data'!B31</f>
        <v/>
      </c>
      <c r="C31" s="20">
        <f>'Raw Data'!M31/'Raw Data'!Y31</f>
        <v/>
      </c>
      <c r="D31" s="20">
        <f>'Raw Data'!M31/'Raw Data'!N31</f>
        <v/>
      </c>
      <c r="E31" s="14">
        <f>IF('Raw Data'!F31=0,NA(),'Raw Data'!W31/'Raw Data'!F31)</f>
        <v/>
      </c>
      <c r="F31">
        <f>IF(C31&lt;$I$2,"Low",IF(C31&lt;=$I$3,"Mid","High"))</f>
        <v/>
      </c>
    </row>
    <row r="32">
      <c r="A32">
        <f>'Raw Data'!A32</f>
        <v/>
      </c>
      <c r="B32">
        <f>'Raw Data'!B32</f>
        <v/>
      </c>
      <c r="C32" s="20">
        <f>'Raw Data'!M32/'Raw Data'!Y32</f>
        <v/>
      </c>
      <c r="D32" s="20">
        <f>'Raw Data'!M32/'Raw Data'!N32</f>
        <v/>
      </c>
      <c r="E32" s="14">
        <f>IF('Raw Data'!F32=0,NA(),'Raw Data'!W32/'Raw Data'!F32)</f>
        <v/>
      </c>
      <c r="F32">
        <f>IF(C32&lt;$I$2,"Low",IF(C32&lt;=$I$3,"Mid","High"))</f>
        <v/>
      </c>
    </row>
    <row r="33">
      <c r="A33">
        <f>'Raw Data'!A33</f>
        <v/>
      </c>
      <c r="B33">
        <f>'Raw Data'!B33</f>
        <v/>
      </c>
      <c r="C33" s="20">
        <f>'Raw Data'!M33/'Raw Data'!Y33</f>
        <v/>
      </c>
      <c r="D33" s="20">
        <f>'Raw Data'!M33/'Raw Data'!N33</f>
        <v/>
      </c>
      <c r="E33" s="14">
        <f>IF('Raw Data'!F33=0,NA(),'Raw Data'!W33/'Raw Data'!F33)</f>
        <v/>
      </c>
      <c r="F33">
        <f>IF(C33&lt;$I$2,"Low",IF(C33&lt;=$I$3,"Mid","High"))</f>
        <v/>
      </c>
    </row>
    <row r="34">
      <c r="A34">
        <f>'Raw Data'!A34</f>
        <v/>
      </c>
      <c r="B34">
        <f>'Raw Data'!B34</f>
        <v/>
      </c>
      <c r="C34" s="20">
        <f>'Raw Data'!M34/'Raw Data'!Y34</f>
        <v/>
      </c>
      <c r="D34" s="20">
        <f>'Raw Data'!M34/'Raw Data'!N34</f>
        <v/>
      </c>
      <c r="E34" s="14">
        <f>IF('Raw Data'!F34=0,NA(),'Raw Data'!W34/'Raw Data'!F34)</f>
        <v/>
      </c>
      <c r="F34">
        <f>IF(C34&lt;$I$2,"Low",IF(C34&lt;=$I$3,"Mid","High"))</f>
        <v/>
      </c>
    </row>
    <row r="35">
      <c r="A35">
        <f>'Raw Data'!A35</f>
        <v/>
      </c>
      <c r="B35">
        <f>'Raw Data'!B35</f>
        <v/>
      </c>
      <c r="C35" s="20">
        <f>'Raw Data'!M35/'Raw Data'!Y35</f>
        <v/>
      </c>
      <c r="D35" s="20">
        <f>'Raw Data'!M35/'Raw Data'!N35</f>
        <v/>
      </c>
      <c r="E35" s="14">
        <f>IF('Raw Data'!F35=0,NA(),'Raw Data'!W35/'Raw Data'!F35)</f>
        <v/>
      </c>
      <c r="F35">
        <f>IF(C35&lt;$I$2,"Low",IF(C35&lt;=$I$3,"Mid","High"))</f>
        <v/>
      </c>
    </row>
    <row r="36">
      <c r="A36">
        <f>'Raw Data'!A36</f>
        <v/>
      </c>
      <c r="B36">
        <f>'Raw Data'!B36</f>
        <v/>
      </c>
      <c r="C36" s="20">
        <f>'Raw Data'!M36/'Raw Data'!Y36</f>
        <v/>
      </c>
      <c r="D36" s="20">
        <f>'Raw Data'!M36/'Raw Data'!N36</f>
        <v/>
      </c>
      <c r="E36" s="14">
        <f>IF('Raw Data'!F36=0,NA(),'Raw Data'!W36/'Raw Data'!F36)</f>
        <v/>
      </c>
      <c r="F36">
        <f>IF(C36&lt;$I$2,"Low",IF(C36&lt;=$I$3,"Mid","High"))</f>
        <v/>
      </c>
    </row>
    <row r="37">
      <c r="A37">
        <f>'Raw Data'!A37</f>
        <v/>
      </c>
      <c r="B37">
        <f>'Raw Data'!B37</f>
        <v/>
      </c>
      <c r="C37" s="20">
        <f>'Raw Data'!M37/'Raw Data'!Y37</f>
        <v/>
      </c>
      <c r="D37" s="20">
        <f>'Raw Data'!M37/'Raw Data'!N37</f>
        <v/>
      </c>
      <c r="E37" s="14">
        <f>IF('Raw Data'!F37=0,NA(),'Raw Data'!W37/'Raw Data'!F37)</f>
        <v/>
      </c>
      <c r="F37">
        <f>IF(C37&lt;$I$2,"Low",IF(C37&lt;=$I$3,"Mid","High"))</f>
        <v/>
      </c>
    </row>
    <row r="38">
      <c r="A38">
        <f>'Raw Data'!A38</f>
        <v/>
      </c>
      <c r="B38">
        <f>'Raw Data'!B38</f>
        <v/>
      </c>
      <c r="C38" s="20">
        <f>'Raw Data'!M38/'Raw Data'!Y38</f>
        <v/>
      </c>
      <c r="D38" s="20">
        <f>'Raw Data'!M38/'Raw Data'!N38</f>
        <v/>
      </c>
      <c r="E38" s="14">
        <f>IF('Raw Data'!F38=0,NA(),'Raw Data'!W38/'Raw Data'!F38)</f>
        <v/>
      </c>
      <c r="F38">
        <f>IF(C38&lt;$I$2,"Low",IF(C38&lt;=$I$3,"Mid","High"))</f>
        <v/>
      </c>
    </row>
    <row r="39">
      <c r="A39">
        <f>'Raw Data'!A39</f>
        <v/>
      </c>
      <c r="B39">
        <f>'Raw Data'!B39</f>
        <v/>
      </c>
      <c r="C39" s="20">
        <f>'Raw Data'!M39/'Raw Data'!Y39</f>
        <v/>
      </c>
      <c r="D39" s="20">
        <f>'Raw Data'!M39/'Raw Data'!N39</f>
        <v/>
      </c>
      <c r="E39" s="14">
        <f>IF('Raw Data'!F39=0,NA(),'Raw Data'!W39/'Raw Data'!F39)</f>
        <v/>
      </c>
      <c r="F39">
        <f>IF(C39&lt;$I$2,"Low",IF(C39&lt;=$I$3,"Mid","High"))</f>
        <v/>
      </c>
    </row>
    <row r="40">
      <c r="A40">
        <f>'Raw Data'!A40</f>
        <v/>
      </c>
      <c r="B40">
        <f>'Raw Data'!B40</f>
        <v/>
      </c>
      <c r="C40" s="20">
        <f>'Raw Data'!M40/'Raw Data'!Y40</f>
        <v/>
      </c>
      <c r="D40" s="20">
        <f>'Raw Data'!M40/'Raw Data'!N40</f>
        <v/>
      </c>
      <c r="E40" s="14">
        <f>IF('Raw Data'!F40=0,NA(),'Raw Data'!W40/'Raw Data'!F40)</f>
        <v/>
      </c>
      <c r="F40">
        <f>IF(C40&lt;$I$2,"Low",IF(C40&lt;=$I$3,"Mid","High"))</f>
        <v/>
      </c>
    </row>
    <row r="41">
      <c r="A41">
        <f>'Raw Data'!A41</f>
        <v/>
      </c>
      <c r="B41">
        <f>'Raw Data'!B41</f>
        <v/>
      </c>
      <c r="C41" s="20">
        <f>'Raw Data'!M41/'Raw Data'!Y41</f>
        <v/>
      </c>
      <c r="D41" s="20">
        <f>'Raw Data'!M41/'Raw Data'!N41</f>
        <v/>
      </c>
      <c r="E41" s="14">
        <f>IF('Raw Data'!F41=0,NA(),'Raw Data'!W41/'Raw Data'!F41)</f>
        <v/>
      </c>
      <c r="F41">
        <f>IF(C41&lt;$I$2,"Low",IF(C41&lt;=$I$3,"Mid","High"))</f>
        <v/>
      </c>
    </row>
    <row r="42"/>
    <row r="43">
      <c r="A43" s="2" t="inlineStr">
        <is>
          <t>Band = IF(D/E &lt; edge1, Low, IF(≤ edge2, Mid, High)) — edges are the yellow cells, change them and the classification recomputes. This universe is structurally low-leverage.</t>
        </is>
      </c>
    </row>
  </sheetData>
  <conditionalFormatting sqref="C2:C41">
    <cfRule type="colorScale" priority="1">
      <colorScale>
        <cfvo type="min"/>
        <cfvo type="percentile" val="5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  <col width="11" customWidth="1" min="5" max="5"/>
    <col width="14" customWidth="1" min="6" max="6"/>
    <col width="5" customWidth="1" min="7" max="7"/>
    <col width="10" customWidth="1" min="8" max="8"/>
  </cols>
  <sheetData>
    <row r="1">
      <c r="A1" s="1" t="inlineStr">
        <is>
          <t>Leverage threshold — where does ROE peak across D/E?</t>
        </is>
      </c>
    </row>
    <row r="2">
      <c r="A2" s="2" t="inlineStr">
        <is>
          <t>bin table computed in python (leverage_threshold.py) on the live ratio panel · scatter is formula-driven off the sheets</t>
        </is>
      </c>
    </row>
    <row r="4">
      <c r="A4" s="9" t="inlineStr">
        <is>
          <t>Method</t>
        </is>
      </c>
      <c r="B4" s="9" t="inlineStr">
        <is>
          <t>Bin</t>
        </is>
      </c>
      <c r="C4" s="9" t="inlineStr">
        <is>
          <t>DE_low</t>
        </is>
      </c>
      <c r="D4" s="9" t="inlineStr">
        <is>
          <t>DE_high</t>
        </is>
      </c>
      <c r="E4" s="9" t="inlineStr">
        <is>
          <t>MeanROE</t>
        </is>
      </c>
      <c r="F4" s="9" t="inlineStr">
        <is>
          <t>MeanNetMargin</t>
        </is>
      </c>
      <c r="G4" s="9" t="inlineStr">
        <is>
          <t>N</t>
        </is>
      </c>
      <c r="H4" s="9" t="inlineStr"/>
    </row>
    <row r="5">
      <c r="A5" s="7" t="inlineStr">
        <is>
          <t>Band</t>
        </is>
      </c>
      <c r="B5" s="7" t="inlineStr">
        <is>
          <t>Low</t>
        </is>
      </c>
      <c r="C5" s="22" t="n">
        <v>0.0023</v>
      </c>
      <c r="D5" s="22" t="n">
        <v>0.2835</v>
      </c>
      <c r="E5" s="23" t="n">
        <v>0.4175191214111388</v>
      </c>
      <c r="F5" s="23" t="n">
        <v>0.2089274121478701</v>
      </c>
      <c r="G5" s="7" t="n">
        <v>38</v>
      </c>
      <c r="H5" s="4" t="inlineStr">
        <is>
          <t>← peak ROE</t>
        </is>
      </c>
    </row>
    <row r="6">
      <c r="A6" s="7" t="inlineStr">
        <is>
          <t>Band</t>
        </is>
      </c>
      <c r="B6" s="7" t="inlineStr">
        <is>
          <t>Mid</t>
        </is>
      </c>
      <c r="C6" s="22" t="n">
        <v>0.3163</v>
      </c>
      <c r="D6" s="22" t="n">
        <v>0.3758</v>
      </c>
      <c r="E6" s="23" t="n">
        <v>0.1773875082945896</v>
      </c>
      <c r="F6" s="23" t="n">
        <v>0.1558221366433314</v>
      </c>
      <c r="G6" s="7" t="n">
        <v>2</v>
      </c>
    </row>
    <row r="7">
      <c r="A7" s="7" t="inlineStr">
        <is>
          <t>Quintile</t>
        </is>
      </c>
      <c r="B7" s="7" t="inlineStr">
        <is>
          <t>(0.00131, 0.00927]</t>
        </is>
      </c>
      <c r="C7" s="22" t="n">
        <v>0.0023</v>
      </c>
      <c r="D7" s="22" t="n">
        <v>0.0092</v>
      </c>
      <c r="E7" s="23" t="n">
        <v>0.2829795357147104</v>
      </c>
      <c r="F7" s="23" t="n">
        <v>0.2884190259412734</v>
      </c>
      <c r="G7" s="7" t="n">
        <v>8</v>
      </c>
    </row>
    <row r="8">
      <c r="A8" s="7" t="inlineStr">
        <is>
          <t>Quintile</t>
        </is>
      </c>
      <c r="B8" s="7" t="inlineStr">
        <is>
          <t>(0.00927, 0.031]</t>
        </is>
      </c>
      <c r="C8" s="22" t="n">
        <v>0.009299999999999999</v>
      </c>
      <c r="D8" s="22" t="n">
        <v>0.0309</v>
      </c>
      <c r="E8" s="23" t="n">
        <v>0.317243559174996</v>
      </c>
      <c r="F8" s="23" t="n">
        <v>0.2164918818724255</v>
      </c>
      <c r="G8" s="7" t="n">
        <v>8</v>
      </c>
    </row>
    <row r="9">
      <c r="A9" s="7" t="inlineStr">
        <is>
          <t>Quintile</t>
        </is>
      </c>
      <c r="B9" s="7" t="inlineStr">
        <is>
          <t>(0.031, 0.0534]</t>
        </is>
      </c>
      <c r="C9" s="22" t="n">
        <v>0.031</v>
      </c>
      <c r="D9" s="22" t="n">
        <v>0.0511</v>
      </c>
      <c r="E9" s="23" t="n">
        <v>0.48278840105821</v>
      </c>
      <c r="F9" s="23" t="n">
        <v>0.1974836598571109</v>
      </c>
      <c r="G9" s="7" t="n">
        <v>8</v>
      </c>
    </row>
    <row r="10">
      <c r="A10" s="7" t="inlineStr">
        <is>
          <t>Quintile</t>
        </is>
      </c>
      <c r="B10" s="7" t="inlineStr">
        <is>
          <t>(0.0534, 0.104]</t>
        </is>
      </c>
      <c r="C10" s="22" t="n">
        <v>0.0569</v>
      </c>
      <c r="D10" s="22" t="n">
        <v>0.1033</v>
      </c>
      <c r="E10" s="23" t="n">
        <v>0.438852257169728</v>
      </c>
      <c r="F10" s="23" t="n">
        <v>0.164851938497318</v>
      </c>
      <c r="G10" s="7" t="n">
        <v>8</v>
      </c>
    </row>
    <row r="11">
      <c r="A11" s="7" t="inlineStr">
        <is>
          <t>Quintile</t>
        </is>
      </c>
      <c r="B11" s="7" t="inlineStr">
        <is>
          <t>(0.104, 0.376]</t>
        </is>
      </c>
      <c r="C11" s="22" t="n">
        <v>0.1074</v>
      </c>
      <c r="D11" s="22" t="n">
        <v>0.3758</v>
      </c>
      <c r="E11" s="23" t="n">
        <v>0.5056989506589122</v>
      </c>
      <c r="F11" s="23" t="n">
        <v>0.1641142356950878</v>
      </c>
      <c r="G11" s="7" t="n">
        <v>8</v>
      </c>
      <c r="H11" s="4" t="inlineStr">
        <is>
          <t>← peak ROE</t>
        </is>
      </c>
    </row>
    <row r="12">
      <c r="A12" s="7" t="inlineStr">
        <is>
          <t>Decile</t>
        </is>
      </c>
      <c r="B12" s="7" t="inlineStr">
        <is>
          <t>(0.00131, 0.00487]</t>
        </is>
      </c>
      <c r="C12" s="22" t="n">
        <v>0.0023</v>
      </c>
      <c r="D12" s="22" t="n">
        <v>0.0048</v>
      </c>
      <c r="E12" s="23" t="n">
        <v>0.3167405408615025</v>
      </c>
      <c r="F12" s="23" t="n">
        <v>0.3326207040891445</v>
      </c>
      <c r="G12" s="7" t="n">
        <v>4</v>
      </c>
    </row>
    <row r="13">
      <c r="A13" s="7" t="inlineStr">
        <is>
          <t>Decile</t>
        </is>
      </c>
      <c r="B13" s="7" t="inlineStr">
        <is>
          <t>(0.00487, 0.00927]</t>
        </is>
      </c>
      <c r="C13" s="22" t="n">
        <v>0.0049</v>
      </c>
      <c r="D13" s="22" t="n">
        <v>0.0092</v>
      </c>
      <c r="E13" s="23" t="n">
        <v>0.2492185305679182</v>
      </c>
      <c r="F13" s="23" t="n">
        <v>0.2442173477934024</v>
      </c>
      <c r="G13" s="7" t="n">
        <v>4</v>
      </c>
    </row>
    <row r="14">
      <c r="A14" s="7" t="inlineStr">
        <is>
          <t>Decile</t>
        </is>
      </c>
      <c r="B14" s="7" t="inlineStr">
        <is>
          <t>(0.00927, 0.0269]</t>
        </is>
      </c>
      <c r="C14" s="22" t="n">
        <v>0.009299999999999999</v>
      </c>
      <c r="D14" s="22" t="n">
        <v>0.0269</v>
      </c>
      <c r="E14" s="23" t="n">
        <v>0.2365380389668764</v>
      </c>
      <c r="F14" s="23" t="n">
        <v>0.1967659610514841</v>
      </c>
      <c r="G14" s="7" t="n">
        <v>4</v>
      </c>
    </row>
    <row r="15">
      <c r="A15" s="7" t="inlineStr">
        <is>
          <t>Decile</t>
        </is>
      </c>
      <c r="B15" s="7" t="inlineStr">
        <is>
          <t>(0.0269, 0.031]</t>
        </is>
      </c>
      <c r="C15" s="22" t="n">
        <v>0.027</v>
      </c>
      <c r="D15" s="22" t="n">
        <v>0.0309</v>
      </c>
      <c r="E15" s="23" t="n">
        <v>0.3979490793831156</v>
      </c>
      <c r="F15" s="23" t="n">
        <v>0.2362178026933669</v>
      </c>
      <c r="G15" s="7" t="n">
        <v>4</v>
      </c>
    </row>
    <row r="16">
      <c r="A16" s="7" t="inlineStr">
        <is>
          <t>Decile</t>
        </is>
      </c>
      <c r="B16" s="7" t="inlineStr">
        <is>
          <t>(0.031, 0.0393]</t>
        </is>
      </c>
      <c r="C16" s="22" t="n">
        <v>0.031</v>
      </c>
      <c r="D16" s="22" t="n">
        <v>0.0384</v>
      </c>
      <c r="E16" s="23" t="n">
        <v>0.530208603268475</v>
      </c>
      <c r="F16" s="23" t="n">
        <v>0.2139552742612186</v>
      </c>
      <c r="G16" s="7" t="n">
        <v>4</v>
      </c>
    </row>
    <row r="17">
      <c r="A17" s="7" t="inlineStr">
        <is>
          <t>Decile</t>
        </is>
      </c>
      <c r="B17" s="7" t="inlineStr">
        <is>
          <t>(0.0393, 0.0534]</t>
        </is>
      </c>
      <c r="C17" s="22" t="n">
        <v>0.0402</v>
      </c>
      <c r="D17" s="22" t="n">
        <v>0.0511</v>
      </c>
      <c r="E17" s="23" t="n">
        <v>0.4353681988479451</v>
      </c>
      <c r="F17" s="23" t="n">
        <v>0.1810120454530033</v>
      </c>
      <c r="G17" s="7" t="n">
        <v>4</v>
      </c>
    </row>
    <row r="18">
      <c r="A18" s="7" t="inlineStr">
        <is>
          <t>Decile</t>
        </is>
      </c>
      <c r="B18" s="7" t="inlineStr">
        <is>
          <t>(0.0534, 0.0819]</t>
        </is>
      </c>
      <c r="C18" s="22" t="n">
        <v>0.0569</v>
      </c>
      <c r="D18" s="22" t="n">
        <v>0.08119999999999999</v>
      </c>
      <c r="E18" s="23" t="n">
        <v>0.3006948801335039</v>
      </c>
      <c r="F18" s="23" t="n">
        <v>0.1677996042617875</v>
      </c>
      <c r="G18" s="7" t="n">
        <v>4</v>
      </c>
    </row>
    <row r="19">
      <c r="A19" s="7" t="inlineStr">
        <is>
          <t>Decile</t>
        </is>
      </c>
      <c r="B19" s="7" t="inlineStr">
        <is>
          <t>(0.0819, 0.104]</t>
        </is>
      </c>
      <c r="C19" s="22" t="n">
        <v>0.08359999999999999</v>
      </c>
      <c r="D19" s="22" t="n">
        <v>0.1033</v>
      </c>
      <c r="E19" s="23" t="n">
        <v>0.5770096342059521</v>
      </c>
      <c r="F19" s="23" t="n">
        <v>0.1619042727328486</v>
      </c>
      <c r="G19" s="7" t="n">
        <v>4</v>
      </c>
    </row>
    <row r="20">
      <c r="A20" s="7" t="inlineStr">
        <is>
          <t>Decile</t>
        </is>
      </c>
      <c r="B20" s="7" t="inlineStr">
        <is>
          <t>(0.104, 0.122]</t>
        </is>
      </c>
      <c r="C20" s="22" t="n">
        <v>0.1074</v>
      </c>
      <c r="D20" s="22" t="n">
        <v>0.1122</v>
      </c>
      <c r="E20" s="23" t="n">
        <v>0.7045317546130536</v>
      </c>
      <c r="F20" s="23" t="n">
        <v>0.1900758428269498</v>
      </c>
      <c r="G20" s="7" t="n">
        <v>4</v>
      </c>
      <c r="H20" s="4" t="inlineStr">
        <is>
          <t>← peak ROE</t>
        </is>
      </c>
    </row>
    <row r="21">
      <c r="A21" s="7" t="inlineStr">
        <is>
          <t>Decile</t>
        </is>
      </c>
      <c r="B21" s="7" t="inlineStr">
        <is>
          <t>(0.122, 0.376]</t>
        </is>
      </c>
      <c r="C21" s="22" t="n">
        <v>0.2103</v>
      </c>
      <c r="D21" s="22" t="n">
        <v>0.3758</v>
      </c>
      <c r="E21" s="23" t="n">
        <v>0.3068661467047708</v>
      </c>
      <c r="F21" s="23" t="n">
        <v>0.1381526285632259</v>
      </c>
      <c r="G21" s="7" t="n">
        <v>4</v>
      </c>
    </row>
    <row r="23">
      <c r="A23" s="4" t="inlineStr">
        <is>
          <t>Finding: average ROE peaks at 70% in the D/E 0.11–0.11 decile, then falls to 31% in the top decile (D/E 0.21–0.38) — an inverted-U inside a low-leverage sector.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1" customWidth="1" min="4" max="4"/>
    <col width="11" customWidth="1" min="5" max="5"/>
    <col width="10" customWidth="1" min="6" max="6"/>
    <col width="9" customWidth="1" min="7" max="7"/>
    <col width="9" customWidth="1" min="8" max="8"/>
    <col width="11" customWidth="1" min="9" max="9"/>
    <col width="13" customWidth="1" min="10" max="10"/>
    <col width="13" customWidth="1" min="11" max="11"/>
    <col width="8" customWidth="1" min="12" max="12"/>
    <col width="9" customWidth="1" min="13" max="13"/>
  </cols>
  <sheetData>
    <row r="1">
      <c r="A1" s="1" t="inlineStr">
        <is>
          <t>WACC — CAPM cost of equity + clamped cost of debt</t>
        </is>
      </c>
    </row>
    <row r="2">
      <c r="A2" s="2" t="inlineStr">
        <is>
          <t>yellow = assumptions to challenge · every other cell recalculates from Raw Data / Market Data</t>
        </is>
      </c>
    </row>
    <row r="4">
      <c r="A4" t="inlineStr">
        <is>
          <t>Risk-free rate (10Y G-Sec)</t>
        </is>
      </c>
      <c r="B4" s="24" t="n">
        <v>0.07000000000000001</v>
      </c>
    </row>
    <row r="5">
      <c r="A5" t="inlineStr">
        <is>
          <t>Equity risk premium (India)</t>
        </is>
      </c>
      <c r="B5" s="24" t="n">
        <v>0.055</v>
      </c>
    </row>
    <row r="6">
      <c r="A6" t="inlineStr">
        <is>
          <t>Kd clamp low  (Rf - 2%)</t>
        </is>
      </c>
      <c r="B6" s="25">
        <f>B4-0.02</f>
        <v/>
      </c>
    </row>
    <row r="7">
      <c r="A7" t="inlineStr">
        <is>
          <t>Kd clamp high (Rf + 6%)</t>
        </is>
      </c>
      <c r="B7" s="25">
        <f>B4+0.06</f>
        <v/>
      </c>
    </row>
    <row r="9">
      <c r="A9" s="9" t="inlineStr">
        <is>
          <t>Company</t>
        </is>
      </c>
      <c r="B9" s="9" t="inlineStr">
        <is>
          <t>Beta</t>
        </is>
      </c>
      <c r="C9" s="9" t="inlineStr">
        <is>
          <t>Ke (CAPM)</t>
        </is>
      </c>
      <c r="D9" s="9" t="inlineStr">
        <is>
          <t>Debt latest</t>
        </is>
      </c>
      <c r="E9" s="9" t="inlineStr">
        <is>
          <t>Debt prior</t>
        </is>
      </c>
      <c r="F9" s="9" t="inlineStr">
        <is>
          <t>Interest</t>
        </is>
      </c>
      <c r="G9" s="9" t="inlineStr">
        <is>
          <t>Kd raw</t>
        </is>
      </c>
      <c r="H9" s="9" t="inlineStr">
        <is>
          <t>Kd used</t>
        </is>
      </c>
      <c r="I9" s="9" t="inlineStr">
        <is>
          <t>Tax (3y avg)</t>
        </is>
      </c>
      <c r="J9" s="9" t="inlineStr">
        <is>
          <t>E = MktCap</t>
        </is>
      </c>
      <c r="K9" s="9" t="inlineStr">
        <is>
          <t>V = E+D</t>
        </is>
      </c>
      <c r="L9" s="9" t="inlineStr">
        <is>
          <t>D/V</t>
        </is>
      </c>
      <c r="M9" s="9" t="inlineStr">
        <is>
          <t>WACC</t>
        </is>
      </c>
    </row>
    <row r="10">
      <c r="A10" t="inlineStr">
        <is>
          <t>HUL</t>
        </is>
      </c>
      <c r="B10" s="26" t="n">
        <v>0.55</v>
      </c>
      <c r="C10" s="25">
        <f>$B$4+B10*$B$5</f>
        <v/>
      </c>
      <c r="D10" s="13">
        <f>'Raw Data'!M6</f>
        <v/>
      </c>
      <c r="E10" s="13">
        <f>'Raw Data'!U6</f>
        <v/>
      </c>
      <c r="F10" s="13">
        <f>'Raw Data'!F6</f>
        <v/>
      </c>
      <c r="G10" s="25">
        <f>IF((D10+E10)=0,NA(),F10/((D10+E10)/2))</f>
        <v/>
      </c>
      <c r="H10" s="25">
        <f>IF(ISNA(G10),$B$4+0.01,MIN(MAX(G10,$B$6),$B$7))</f>
        <v/>
      </c>
      <c r="I10" s="12">
        <f>AVERAGE('Raw Data'!V6,'Raw Data'!V5,'Raw Data'!V4)</f>
        <v/>
      </c>
      <c r="J10" s="13">
        <f>'Market Data'!B2</f>
        <v/>
      </c>
      <c r="K10" s="13">
        <f>J10+D10</f>
        <v/>
      </c>
      <c r="L10" s="12">
        <f>D10/K10</f>
        <v/>
      </c>
      <c r="M10" s="27">
        <f>(J10/K10)*C10+(D10/K10)*H10*(1-I10)</f>
        <v/>
      </c>
    </row>
    <row r="11">
      <c r="A11" t="inlineStr">
        <is>
          <t>ITC</t>
        </is>
      </c>
      <c r="B11" s="26" t="n">
        <v>0.75</v>
      </c>
      <c r="C11" s="25">
        <f>$B$4+B11*$B$5</f>
        <v/>
      </c>
      <c r="D11" s="13">
        <f>'Raw Data'!M11</f>
        <v/>
      </c>
      <c r="E11" s="13">
        <f>'Raw Data'!U11</f>
        <v/>
      </c>
      <c r="F11" s="13">
        <f>'Raw Data'!F11</f>
        <v/>
      </c>
      <c r="G11" s="25">
        <f>IF((D11+E11)=0,NA(),F11/((D11+E11)/2))</f>
        <v/>
      </c>
      <c r="H11" s="25">
        <f>IF(ISNA(G11),$B$4+0.01,MIN(MAX(G11,$B$6),$B$7))</f>
        <v/>
      </c>
      <c r="I11" s="12">
        <f>AVERAGE('Raw Data'!V11,'Raw Data'!V10,'Raw Data'!V9)</f>
        <v/>
      </c>
      <c r="J11" s="13">
        <f>'Market Data'!B3</f>
        <v/>
      </c>
      <c r="K11" s="13">
        <f>J11+D11</f>
        <v/>
      </c>
      <c r="L11" s="12">
        <f>D11/K11</f>
        <v/>
      </c>
      <c r="M11" s="27">
        <f>(J11/K11)*C11+(D11/K11)*H11*(1-I11)</f>
        <v/>
      </c>
    </row>
    <row r="12">
      <c r="A12" t="inlineStr">
        <is>
          <t>Dabur</t>
        </is>
      </c>
      <c r="B12" s="26" t="n">
        <v>0.6</v>
      </c>
      <c r="C12" s="25">
        <f>$B$4+B12*$B$5</f>
        <v/>
      </c>
      <c r="D12" s="13">
        <f>'Raw Data'!M16</f>
        <v/>
      </c>
      <c r="E12" s="13">
        <f>'Raw Data'!U16</f>
        <v/>
      </c>
      <c r="F12" s="13">
        <f>'Raw Data'!F16</f>
        <v/>
      </c>
      <c r="G12" s="25">
        <f>IF((D12+E12)=0,NA(),F12/((D12+E12)/2))</f>
        <v/>
      </c>
      <c r="H12" s="25">
        <f>IF(ISNA(G12),$B$4+0.01,MIN(MAX(G12,$B$6),$B$7))</f>
        <v/>
      </c>
      <c r="I12" s="12">
        <f>AVERAGE('Raw Data'!V16,'Raw Data'!V15,'Raw Data'!V14)</f>
        <v/>
      </c>
      <c r="J12" s="13">
        <f>'Market Data'!B4</f>
        <v/>
      </c>
      <c r="K12" s="13">
        <f>J12+D12</f>
        <v/>
      </c>
      <c r="L12" s="12">
        <f>D12/K12</f>
        <v/>
      </c>
      <c r="M12" s="27">
        <f>(J12/K12)*C12+(D12/K12)*H12*(1-I12)</f>
        <v/>
      </c>
    </row>
    <row r="13">
      <c r="A13" t="inlineStr">
        <is>
          <t>Marico</t>
        </is>
      </c>
      <c r="B13" s="26" t="n">
        <v>0.55</v>
      </c>
      <c r="C13" s="25">
        <f>$B$4+B13*$B$5</f>
        <v/>
      </c>
      <c r="D13" s="13">
        <f>'Raw Data'!M21</f>
        <v/>
      </c>
      <c r="E13" s="13">
        <f>'Raw Data'!U21</f>
        <v/>
      </c>
      <c r="F13" s="13">
        <f>'Raw Data'!F21</f>
        <v/>
      </c>
      <c r="G13" s="25">
        <f>IF((D13+E13)=0,NA(),F13/((D13+E13)/2))</f>
        <v/>
      </c>
      <c r="H13" s="25">
        <f>IF(ISNA(G13),$B$4+0.01,MIN(MAX(G13,$B$6),$B$7))</f>
        <v/>
      </c>
      <c r="I13" s="12">
        <f>AVERAGE('Raw Data'!V21,'Raw Data'!V20,'Raw Data'!V19)</f>
        <v/>
      </c>
      <c r="J13" s="13">
        <f>'Market Data'!B5</f>
        <v/>
      </c>
      <c r="K13" s="13">
        <f>J13+D13</f>
        <v/>
      </c>
      <c r="L13" s="12">
        <f>D13/K13</f>
        <v/>
      </c>
      <c r="M13" s="27">
        <f>(J13/K13)*C13+(D13/K13)*H13*(1-I13)</f>
        <v/>
      </c>
    </row>
    <row r="14">
      <c r="A14" t="inlineStr">
        <is>
          <t>Colgate</t>
        </is>
      </c>
      <c r="B14" s="26" t="n">
        <v>0.65</v>
      </c>
      <c r="C14" s="25">
        <f>$B$4+B14*$B$5</f>
        <v/>
      </c>
      <c r="D14" s="13">
        <f>'Raw Data'!M26</f>
        <v/>
      </c>
      <c r="E14" s="13">
        <f>'Raw Data'!U26</f>
        <v/>
      </c>
      <c r="F14" s="13">
        <f>'Raw Data'!F26</f>
        <v/>
      </c>
      <c r="G14" s="25">
        <f>IF((D14+E14)=0,NA(),F14/((D14+E14)/2))</f>
        <v/>
      </c>
      <c r="H14" s="25">
        <f>IF(ISNA(G14),$B$4+0.01,MIN(MAX(G14,$B$6),$B$7))</f>
        <v/>
      </c>
      <c r="I14" s="12">
        <f>AVERAGE('Raw Data'!V26,'Raw Data'!V25,'Raw Data'!V24)</f>
        <v/>
      </c>
      <c r="J14" s="13">
        <f>'Market Data'!B6</f>
        <v/>
      </c>
      <c r="K14" s="13">
        <f>J14+D14</f>
        <v/>
      </c>
      <c r="L14" s="12">
        <f>D14/K14</f>
        <v/>
      </c>
      <c r="M14" s="27">
        <f>(J14/K14)*C14+(D14/K14)*H14*(1-I14)</f>
        <v/>
      </c>
    </row>
    <row r="15">
      <c r="A15" t="inlineStr">
        <is>
          <t>Nestle</t>
        </is>
      </c>
      <c r="B15" s="26" t="n">
        <v>0.5</v>
      </c>
      <c r="C15" s="25">
        <f>$B$4+B15*$B$5</f>
        <v/>
      </c>
      <c r="D15" s="13">
        <f>'Raw Data'!M31</f>
        <v/>
      </c>
      <c r="E15" s="13">
        <f>'Raw Data'!U31</f>
        <v/>
      </c>
      <c r="F15" s="13">
        <f>'Raw Data'!F31</f>
        <v/>
      </c>
      <c r="G15" s="25">
        <f>IF((D15+E15)=0,NA(),F15/((D15+E15)/2))</f>
        <v/>
      </c>
      <c r="H15" s="25">
        <f>IF(ISNA(G15),$B$4+0.01,MIN(MAX(G15,$B$6),$B$7))</f>
        <v/>
      </c>
      <c r="I15" s="12">
        <f>AVERAGE('Raw Data'!V31,'Raw Data'!V30,'Raw Data'!V29)</f>
        <v/>
      </c>
      <c r="J15" s="13">
        <f>'Market Data'!B7</f>
        <v/>
      </c>
      <c r="K15" s="13">
        <f>J15+D15</f>
        <v/>
      </c>
      <c r="L15" s="12">
        <f>D15/K15</f>
        <v/>
      </c>
      <c r="M15" s="27">
        <f>(J15/K15)*C15+(D15/K15)*H15*(1-I15)</f>
        <v/>
      </c>
    </row>
    <row r="16">
      <c r="A16" t="inlineStr">
        <is>
          <t>Godrej</t>
        </is>
      </c>
      <c r="B16" s="26" t="n">
        <v>0.7</v>
      </c>
      <c r="C16" s="25">
        <f>$B$4+B16*$B$5</f>
        <v/>
      </c>
      <c r="D16" s="13">
        <f>'Raw Data'!M36</f>
        <v/>
      </c>
      <c r="E16" s="13">
        <f>'Raw Data'!U36</f>
        <v/>
      </c>
      <c r="F16" s="13">
        <f>'Raw Data'!F36</f>
        <v/>
      </c>
      <c r="G16" s="25">
        <f>IF((D16+E16)=0,NA(),F16/((D16+E16)/2))</f>
        <v/>
      </c>
      <c r="H16" s="25">
        <f>IF(ISNA(G16),$B$4+0.01,MIN(MAX(G16,$B$6),$B$7))</f>
        <v/>
      </c>
      <c r="I16" s="12">
        <f>AVERAGE('Raw Data'!V36,'Raw Data'!V35,'Raw Data'!V34)</f>
        <v/>
      </c>
      <c r="J16" s="13">
        <f>'Market Data'!B8</f>
        <v/>
      </c>
      <c r="K16" s="13">
        <f>J16+D16</f>
        <v/>
      </c>
      <c r="L16" s="12">
        <f>D16/K16</f>
        <v/>
      </c>
      <c r="M16" s="27">
        <f>(J16/K16)*C16+(D16/K16)*H16*(1-I16)</f>
        <v/>
      </c>
    </row>
    <row r="17">
      <c r="A17" t="inlineStr">
        <is>
          <t>Emami</t>
        </is>
      </c>
      <c r="B17" s="26" t="n">
        <v>0.65</v>
      </c>
      <c r="C17" s="25">
        <f>$B$4+B17*$B$5</f>
        <v/>
      </c>
      <c r="D17" s="13">
        <f>'Raw Data'!M41</f>
        <v/>
      </c>
      <c r="E17" s="13">
        <f>'Raw Data'!U41</f>
        <v/>
      </c>
      <c r="F17" s="13">
        <f>'Raw Data'!F41</f>
        <v/>
      </c>
      <c r="G17" s="25">
        <f>IF((D17+E17)=0,NA(),F17/((D17+E17)/2))</f>
        <v/>
      </c>
      <c r="H17" s="25">
        <f>IF(ISNA(G17),$B$4+0.01,MIN(MAX(G17,$B$6),$B$7))</f>
        <v/>
      </c>
      <c r="I17" s="12">
        <f>AVERAGE('Raw Data'!V41,'Raw Data'!V40,'Raw Data'!V39)</f>
        <v/>
      </c>
      <c r="J17" s="13">
        <f>'Market Data'!B9</f>
        <v/>
      </c>
      <c r="K17" s="13">
        <f>J17+D17</f>
        <v/>
      </c>
      <c r="L17" s="12">
        <f>D17/K17</f>
        <v/>
      </c>
      <c r="M17" s="27">
        <f>(J17/K17)*C17+(D17/K17)*H17*(1-I17)</f>
        <v/>
      </c>
    </row>
    <row r="19">
      <c r="A19" s="3" t="inlineStr">
        <is>
          <t>Book-weight WACC per firm-year (equity at book value — shows the leverage-mix effect)</t>
        </is>
      </c>
    </row>
    <row r="20">
      <c r="B20" s="4" t="inlineStr">
        <is>
          <t>FY2022</t>
        </is>
      </c>
      <c r="C20" s="4" t="inlineStr">
        <is>
          <t>FY2023</t>
        </is>
      </c>
      <c r="D20" s="4" t="inlineStr">
        <is>
          <t>FY2024</t>
        </is>
      </c>
      <c r="E20" s="4" t="inlineStr">
        <is>
          <t>FY2025</t>
        </is>
      </c>
      <c r="F20" s="4" t="inlineStr">
        <is>
          <t>FY2026</t>
        </is>
      </c>
    </row>
    <row r="21">
      <c r="A21" t="inlineStr">
        <is>
          <t>HUL</t>
        </is>
      </c>
      <c r="B21" s="25">
        <f>('Raw Data'!Y2/('Raw Data'!Y2+'Raw Data'!M2))*$C$10+('Raw Data'!M2/('Raw Data'!Y2+'Raw Data'!M2))*$H$10*(1-'Raw Data'!V2)</f>
        <v/>
      </c>
      <c r="C21" s="25">
        <f>('Raw Data'!Y3/('Raw Data'!Y3+'Raw Data'!M3))*$C$10+('Raw Data'!M3/('Raw Data'!Y3+'Raw Data'!M3))*$H$10*(1-'Raw Data'!V3)</f>
        <v/>
      </c>
      <c r="D21" s="25">
        <f>('Raw Data'!Y4/('Raw Data'!Y4+'Raw Data'!M4))*$C$10+('Raw Data'!M4/('Raw Data'!Y4+'Raw Data'!M4))*$H$10*(1-'Raw Data'!V4)</f>
        <v/>
      </c>
      <c r="E21" s="25">
        <f>('Raw Data'!Y5/('Raw Data'!Y5+'Raw Data'!M5))*$C$10+('Raw Data'!M5/('Raw Data'!Y5+'Raw Data'!M5))*$H$10*(1-'Raw Data'!V5)</f>
        <v/>
      </c>
      <c r="F21" s="25">
        <f>('Raw Data'!Y6/('Raw Data'!Y6+'Raw Data'!M6))*$C$10+('Raw Data'!M6/('Raw Data'!Y6+'Raw Data'!M6))*$H$10*(1-'Raw Data'!V6)</f>
        <v/>
      </c>
    </row>
    <row r="22">
      <c r="A22" t="inlineStr">
        <is>
          <t>ITC</t>
        </is>
      </c>
      <c r="B22" s="25">
        <f>('Raw Data'!Y7/('Raw Data'!Y7+'Raw Data'!M7))*$C$11+('Raw Data'!M7/('Raw Data'!Y7+'Raw Data'!M7))*$H$11*(1-'Raw Data'!V7)</f>
        <v/>
      </c>
      <c r="C22" s="25">
        <f>('Raw Data'!Y8/('Raw Data'!Y8+'Raw Data'!M8))*$C$11+('Raw Data'!M8/('Raw Data'!Y8+'Raw Data'!M8))*$H$11*(1-'Raw Data'!V8)</f>
        <v/>
      </c>
      <c r="D22" s="25">
        <f>('Raw Data'!Y9/('Raw Data'!Y9+'Raw Data'!M9))*$C$11+('Raw Data'!M9/('Raw Data'!Y9+'Raw Data'!M9))*$H$11*(1-'Raw Data'!V9)</f>
        <v/>
      </c>
      <c r="E22" s="25">
        <f>('Raw Data'!Y10/('Raw Data'!Y10+'Raw Data'!M10))*$C$11+('Raw Data'!M10/('Raw Data'!Y10+'Raw Data'!M10))*$H$11*(1-'Raw Data'!V10)</f>
        <v/>
      </c>
      <c r="F22" s="25">
        <f>('Raw Data'!Y11/('Raw Data'!Y11+'Raw Data'!M11))*$C$11+('Raw Data'!M11/('Raw Data'!Y11+'Raw Data'!M11))*$H$11*(1-'Raw Data'!V11)</f>
        <v/>
      </c>
    </row>
    <row r="23">
      <c r="A23" t="inlineStr">
        <is>
          <t>Dabur</t>
        </is>
      </c>
      <c r="B23" s="25">
        <f>('Raw Data'!Y12/('Raw Data'!Y12+'Raw Data'!M12))*$C$12+('Raw Data'!M12/('Raw Data'!Y12+'Raw Data'!M12))*$H$12*(1-'Raw Data'!V12)</f>
        <v/>
      </c>
      <c r="C23" s="25">
        <f>('Raw Data'!Y13/('Raw Data'!Y13+'Raw Data'!M13))*$C$12+('Raw Data'!M13/('Raw Data'!Y13+'Raw Data'!M13))*$H$12*(1-'Raw Data'!V13)</f>
        <v/>
      </c>
      <c r="D23" s="25">
        <f>('Raw Data'!Y14/('Raw Data'!Y14+'Raw Data'!M14))*$C$12+('Raw Data'!M14/('Raw Data'!Y14+'Raw Data'!M14))*$H$12*(1-'Raw Data'!V14)</f>
        <v/>
      </c>
      <c r="E23" s="25">
        <f>('Raw Data'!Y15/('Raw Data'!Y15+'Raw Data'!M15))*$C$12+('Raw Data'!M15/('Raw Data'!Y15+'Raw Data'!M15))*$H$12*(1-'Raw Data'!V15)</f>
        <v/>
      </c>
      <c r="F23" s="25">
        <f>('Raw Data'!Y16/('Raw Data'!Y16+'Raw Data'!M16))*$C$12+('Raw Data'!M16/('Raw Data'!Y16+'Raw Data'!M16))*$H$12*(1-'Raw Data'!V16)</f>
        <v/>
      </c>
    </row>
    <row r="24">
      <c r="A24" t="inlineStr">
        <is>
          <t>Marico</t>
        </is>
      </c>
      <c r="B24" s="25">
        <f>('Raw Data'!Y17/('Raw Data'!Y17+'Raw Data'!M17))*$C$13+('Raw Data'!M17/('Raw Data'!Y17+'Raw Data'!M17))*$H$13*(1-'Raw Data'!V17)</f>
        <v/>
      </c>
      <c r="C24" s="25">
        <f>('Raw Data'!Y18/('Raw Data'!Y18+'Raw Data'!M18))*$C$13+('Raw Data'!M18/('Raw Data'!Y18+'Raw Data'!M18))*$H$13*(1-'Raw Data'!V18)</f>
        <v/>
      </c>
      <c r="D24" s="25">
        <f>('Raw Data'!Y19/('Raw Data'!Y19+'Raw Data'!M19))*$C$13+('Raw Data'!M19/('Raw Data'!Y19+'Raw Data'!M19))*$H$13*(1-'Raw Data'!V19)</f>
        <v/>
      </c>
      <c r="E24" s="25">
        <f>('Raw Data'!Y20/('Raw Data'!Y20+'Raw Data'!M20))*$C$13+('Raw Data'!M20/('Raw Data'!Y20+'Raw Data'!M20))*$H$13*(1-'Raw Data'!V20)</f>
        <v/>
      </c>
      <c r="F24" s="25">
        <f>('Raw Data'!Y21/('Raw Data'!Y21+'Raw Data'!M21))*$C$13+('Raw Data'!M21/('Raw Data'!Y21+'Raw Data'!M21))*$H$13*(1-'Raw Data'!V21)</f>
        <v/>
      </c>
    </row>
    <row r="25">
      <c r="A25" t="inlineStr">
        <is>
          <t>Colgate</t>
        </is>
      </c>
      <c r="B25" s="25">
        <f>('Raw Data'!Y22/('Raw Data'!Y22+'Raw Data'!M22))*$C$14+('Raw Data'!M22/('Raw Data'!Y22+'Raw Data'!M22))*$H$14*(1-'Raw Data'!V22)</f>
        <v/>
      </c>
      <c r="C25" s="25">
        <f>('Raw Data'!Y23/('Raw Data'!Y23+'Raw Data'!M23))*$C$14+('Raw Data'!M23/('Raw Data'!Y23+'Raw Data'!M23))*$H$14*(1-'Raw Data'!V23)</f>
        <v/>
      </c>
      <c r="D25" s="25">
        <f>('Raw Data'!Y24/('Raw Data'!Y24+'Raw Data'!M24))*$C$14+('Raw Data'!M24/('Raw Data'!Y24+'Raw Data'!M24))*$H$14*(1-'Raw Data'!V24)</f>
        <v/>
      </c>
      <c r="E25" s="25">
        <f>('Raw Data'!Y25/('Raw Data'!Y25+'Raw Data'!M25))*$C$14+('Raw Data'!M25/('Raw Data'!Y25+'Raw Data'!M25))*$H$14*(1-'Raw Data'!V25)</f>
        <v/>
      </c>
      <c r="F25" s="25">
        <f>('Raw Data'!Y26/('Raw Data'!Y26+'Raw Data'!M26))*$C$14+('Raw Data'!M26/('Raw Data'!Y26+'Raw Data'!M26))*$H$14*(1-'Raw Data'!V26)</f>
        <v/>
      </c>
    </row>
    <row r="26">
      <c r="A26" t="inlineStr">
        <is>
          <t>Nestle</t>
        </is>
      </c>
      <c r="B26" s="25">
        <f>('Raw Data'!Y27/('Raw Data'!Y27+'Raw Data'!M27))*$C$15+('Raw Data'!M27/('Raw Data'!Y27+'Raw Data'!M27))*$H$15*(1-'Raw Data'!V27)</f>
        <v/>
      </c>
      <c r="C26" s="25">
        <f>('Raw Data'!Y28/('Raw Data'!Y28+'Raw Data'!M28))*$C$15+('Raw Data'!M28/('Raw Data'!Y28+'Raw Data'!M28))*$H$15*(1-'Raw Data'!V28)</f>
        <v/>
      </c>
      <c r="D26" s="25">
        <f>('Raw Data'!Y29/('Raw Data'!Y29+'Raw Data'!M29))*$C$15+('Raw Data'!M29/('Raw Data'!Y29+'Raw Data'!M29))*$H$15*(1-'Raw Data'!V29)</f>
        <v/>
      </c>
      <c r="E26" s="25">
        <f>('Raw Data'!Y30/('Raw Data'!Y30+'Raw Data'!M30))*$C$15+('Raw Data'!M30/('Raw Data'!Y30+'Raw Data'!M30))*$H$15*(1-'Raw Data'!V30)</f>
        <v/>
      </c>
      <c r="F26" s="25">
        <f>('Raw Data'!Y31/('Raw Data'!Y31+'Raw Data'!M31))*$C$15+('Raw Data'!M31/('Raw Data'!Y31+'Raw Data'!M31))*$H$15*(1-'Raw Data'!V31)</f>
        <v/>
      </c>
    </row>
    <row r="27">
      <c r="A27" t="inlineStr">
        <is>
          <t>Godrej</t>
        </is>
      </c>
      <c r="B27" s="25">
        <f>('Raw Data'!Y32/('Raw Data'!Y32+'Raw Data'!M32))*$C$16+('Raw Data'!M32/('Raw Data'!Y32+'Raw Data'!M32))*$H$16*(1-'Raw Data'!V32)</f>
        <v/>
      </c>
      <c r="C27" s="25">
        <f>('Raw Data'!Y33/('Raw Data'!Y33+'Raw Data'!M33))*$C$16+('Raw Data'!M33/('Raw Data'!Y33+'Raw Data'!M33))*$H$16*(1-'Raw Data'!V33)</f>
        <v/>
      </c>
      <c r="D27" s="25">
        <f>('Raw Data'!Y34/('Raw Data'!Y34+'Raw Data'!M34))*$C$16+('Raw Data'!M34/('Raw Data'!Y34+'Raw Data'!M34))*$H$16*(1-'Raw Data'!V34)</f>
        <v/>
      </c>
      <c r="E27" s="25">
        <f>('Raw Data'!Y35/('Raw Data'!Y35+'Raw Data'!M35))*$C$16+('Raw Data'!M35/('Raw Data'!Y35+'Raw Data'!M35))*$H$16*(1-'Raw Data'!V35)</f>
        <v/>
      </c>
      <c r="F27" s="25">
        <f>('Raw Data'!Y36/('Raw Data'!Y36+'Raw Data'!M36))*$C$16+('Raw Data'!M36/('Raw Data'!Y36+'Raw Data'!M36))*$H$16*(1-'Raw Data'!V36)</f>
        <v/>
      </c>
    </row>
    <row r="28">
      <c r="A28" t="inlineStr">
        <is>
          <t>Emami</t>
        </is>
      </c>
      <c r="B28" s="25">
        <f>('Raw Data'!Y37/('Raw Data'!Y37+'Raw Data'!M37))*$C$17+('Raw Data'!M37/('Raw Data'!Y37+'Raw Data'!M37))*$H$17*(1-'Raw Data'!V37)</f>
        <v/>
      </c>
      <c r="C28" s="25">
        <f>('Raw Data'!Y38/('Raw Data'!Y38+'Raw Data'!M38))*$C$17+('Raw Data'!M38/('Raw Data'!Y38+'Raw Data'!M38))*$H$17*(1-'Raw Data'!V38)</f>
        <v/>
      </c>
      <c r="D28" s="25">
        <f>('Raw Data'!Y39/('Raw Data'!Y39+'Raw Data'!M39))*$C$17+('Raw Data'!M39/('Raw Data'!Y39+'Raw Data'!M39))*$H$17*(1-'Raw Data'!V39)</f>
        <v/>
      </c>
      <c r="E28" s="25">
        <f>('Raw Data'!Y40/('Raw Data'!Y40+'Raw Data'!M40))*$C$17+('Raw Data'!M40/('Raw Data'!Y40+'Raw Data'!M40))*$H$17*(1-'Raw Data'!V40)</f>
        <v/>
      </c>
      <c r="F28" s="25">
        <f>('Raw Data'!Y41/('Raw Data'!Y41+'Raw Data'!M41))*$C$17+('Raw Data'!M41/('Raw Data'!Y41+'Raw Data'!M41))*$H$17*(1-'Raw Data'!V41)</f>
        <v/>
      </c>
    </row>
    <row r="30">
      <c r="A30" s="2" t="inlineStr">
        <is>
          <t>Main table: market-value equity weights (feeds the DCF). Matrix: book weights per year — more debt in the mix lowers book WACC via the tax shield, until risk reprices Ke/Kd (not modelled by CAPM with a constant beta).</t>
        </is>
      </c>
    </row>
  </sheetData>
  <conditionalFormatting sqref="B21:F28">
    <cfRule type="colorScale" priority="1">
      <colorScale>
        <cfvo type="min"/>
        <cfvo type="percentile" val="5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Ratio correlation matrix (Pearson, 40 firm-years)</t>
        </is>
      </c>
    </row>
    <row r="2">
      <c r="A2" s="2" t="inlineStr">
        <is>
          <t>computed in python — correlation_matrix.py · heatmap: red −1 → white 0 → green +1</t>
        </is>
      </c>
    </row>
    <row r="4">
      <c r="A4" s="9" t="inlineStr"/>
      <c r="B4" s="9" t="inlineStr">
        <is>
          <t>ROE</t>
        </is>
      </c>
      <c r="C4" s="9" t="inlineStr">
        <is>
          <t>ROA</t>
        </is>
      </c>
      <c r="D4" s="9" t="inlineStr">
        <is>
          <t>NetMargin</t>
        </is>
      </c>
      <c r="E4" s="9" t="inlineStr">
        <is>
          <t>EBITMargin</t>
        </is>
      </c>
      <c r="F4" s="9" t="inlineStr">
        <is>
          <t>AssetTurnover</t>
        </is>
      </c>
      <c r="G4" s="9" t="inlineStr">
        <is>
          <t>EquityMultiplier</t>
        </is>
      </c>
      <c r="H4" s="9" t="inlineStr">
        <is>
          <t>DebtToEquity</t>
        </is>
      </c>
      <c r="I4" s="9" t="inlineStr">
        <is>
          <t>DebtRatio</t>
        </is>
      </c>
      <c r="J4" s="9" t="inlineStr">
        <is>
          <t>InterestCoverage</t>
        </is>
      </c>
      <c r="K4" s="9" t="inlineStr">
        <is>
          <t>CurrentRatio</t>
        </is>
      </c>
    </row>
    <row r="5">
      <c r="A5" s="4" t="inlineStr">
        <is>
          <t>ROE</t>
        </is>
      </c>
      <c r="B5" s="28" t="n">
        <v>1</v>
      </c>
      <c r="C5" s="28" t="n">
        <v>0.78</v>
      </c>
      <c r="D5" s="28" t="n">
        <v>0.005</v>
      </c>
      <c r="E5" s="28" t="n">
        <v>0.039</v>
      </c>
      <c r="F5" s="28" t="n">
        <v>0.902</v>
      </c>
      <c r="G5" s="28" t="n">
        <v>0.846</v>
      </c>
      <c r="H5" s="28" t="n">
        <v>0.062</v>
      </c>
      <c r="I5" s="28" t="n">
        <v>-0.175</v>
      </c>
      <c r="J5" s="28" t="n">
        <v>0.034</v>
      </c>
      <c r="K5" s="28" t="n">
        <v>-0.133</v>
      </c>
    </row>
    <row r="6">
      <c r="A6" s="4" t="inlineStr">
        <is>
          <t>ROA</t>
        </is>
      </c>
      <c r="B6" s="28" t="n">
        <v>0.78</v>
      </c>
      <c r="C6" s="28" t="n">
        <v>1</v>
      </c>
      <c r="D6" s="28" t="n">
        <v>0.457</v>
      </c>
      <c r="E6" s="28" t="n">
        <v>0.429</v>
      </c>
      <c r="F6" s="28" t="n">
        <v>0.757</v>
      </c>
      <c r="G6" s="28" t="n">
        <v>0.343</v>
      </c>
      <c r="H6" s="28" t="n">
        <v>-0.268</v>
      </c>
      <c r="I6" s="28" t="n">
        <v>-0.39</v>
      </c>
      <c r="J6" s="28" t="n">
        <v>0.454</v>
      </c>
      <c r="K6" s="28" t="n">
        <v>0.366</v>
      </c>
    </row>
    <row r="7">
      <c r="A7" s="4" t="inlineStr">
        <is>
          <t>NetMargin</t>
        </is>
      </c>
      <c r="B7" s="28" t="n">
        <v>0.005</v>
      </c>
      <c r="C7" s="28" t="n">
        <v>0.457</v>
      </c>
      <c r="D7" s="28" t="n">
        <v>1</v>
      </c>
      <c r="E7" s="28" t="n">
        <v>0.9320000000000001</v>
      </c>
      <c r="F7" s="28" t="n">
        <v>-0.202</v>
      </c>
      <c r="G7" s="28" t="n">
        <v>-0.347</v>
      </c>
      <c r="H7" s="28" t="n">
        <v>-0.443</v>
      </c>
      <c r="I7" s="28" t="n">
        <v>-0.42</v>
      </c>
      <c r="J7" s="28" t="n">
        <v>0.868</v>
      </c>
      <c r="K7" s="28" t="n">
        <v>0.451</v>
      </c>
    </row>
    <row r="8">
      <c r="A8" s="4" t="inlineStr">
        <is>
          <t>EBITMargin</t>
        </is>
      </c>
      <c r="B8" s="28" t="n">
        <v>0.039</v>
      </c>
      <c r="C8" s="28" t="n">
        <v>0.429</v>
      </c>
      <c r="D8" s="28" t="n">
        <v>0.9320000000000001</v>
      </c>
      <c r="E8" s="28" t="n">
        <v>1</v>
      </c>
      <c r="F8" s="28" t="n">
        <v>-0.187</v>
      </c>
      <c r="G8" s="28" t="n">
        <v>-0.274</v>
      </c>
      <c r="H8" s="28" t="n">
        <v>-0.352</v>
      </c>
      <c r="I8" s="28" t="n">
        <v>-0.341</v>
      </c>
      <c r="J8" s="28" t="n">
        <v>0.862</v>
      </c>
      <c r="K8" s="28" t="n">
        <v>0.358</v>
      </c>
    </row>
    <row r="9">
      <c r="A9" s="4" t="inlineStr">
        <is>
          <t>AssetTurnover</t>
        </is>
      </c>
      <c r="B9" s="28" t="n">
        <v>0.902</v>
      </c>
      <c r="C9" s="28" t="n">
        <v>0.757</v>
      </c>
      <c r="D9" s="28" t="n">
        <v>-0.202</v>
      </c>
      <c r="E9" s="28" t="n">
        <v>-0.187</v>
      </c>
      <c r="F9" s="28" t="n">
        <v>1</v>
      </c>
      <c r="G9" s="28" t="n">
        <v>0.716</v>
      </c>
      <c r="H9" s="28" t="n">
        <v>0.021</v>
      </c>
      <c r="I9" s="28" t="n">
        <v>-0.165</v>
      </c>
      <c r="J9" s="28" t="n">
        <v>-0.136</v>
      </c>
      <c r="K9" s="28" t="n">
        <v>0.038</v>
      </c>
    </row>
    <row r="10">
      <c r="A10" s="4" t="inlineStr">
        <is>
          <t>EquityMultiplier</t>
        </is>
      </c>
      <c r="B10" s="28" t="n">
        <v>0.846</v>
      </c>
      <c r="C10" s="28" t="n">
        <v>0.343</v>
      </c>
      <c r="D10" s="28" t="n">
        <v>-0.347</v>
      </c>
      <c r="E10" s="28" t="n">
        <v>-0.274</v>
      </c>
      <c r="F10" s="28" t="n">
        <v>0.716</v>
      </c>
      <c r="G10" s="28" t="n">
        <v>1</v>
      </c>
      <c r="H10" s="28" t="n">
        <v>0.361</v>
      </c>
      <c r="I10" s="28" t="n">
        <v>0.098</v>
      </c>
      <c r="J10" s="28" t="n">
        <v>-0.331</v>
      </c>
      <c r="K10" s="28" t="n">
        <v>-0.522</v>
      </c>
    </row>
    <row r="11">
      <c r="A11" s="4" t="inlineStr">
        <is>
          <t>DebtToEquity</t>
        </is>
      </c>
      <c r="B11" s="28" t="n">
        <v>0.062</v>
      </c>
      <c r="C11" s="28" t="n">
        <v>-0.268</v>
      </c>
      <c r="D11" s="28" t="n">
        <v>-0.443</v>
      </c>
      <c r="E11" s="28" t="n">
        <v>-0.352</v>
      </c>
      <c r="F11" s="28" t="n">
        <v>0.021</v>
      </c>
      <c r="G11" s="28" t="n">
        <v>0.361</v>
      </c>
      <c r="H11" s="28" t="n">
        <v>1</v>
      </c>
      <c r="I11" s="28" t="n">
        <v>0.945</v>
      </c>
      <c r="J11" s="28" t="n">
        <v>-0.458</v>
      </c>
      <c r="K11" s="28" t="n">
        <v>-0.432</v>
      </c>
    </row>
    <row r="12">
      <c r="A12" s="4" t="inlineStr">
        <is>
          <t>DebtRatio</t>
        </is>
      </c>
      <c r="B12" s="28" t="n">
        <v>-0.175</v>
      </c>
      <c r="C12" s="28" t="n">
        <v>-0.39</v>
      </c>
      <c r="D12" s="28" t="n">
        <v>-0.42</v>
      </c>
      <c r="E12" s="28" t="n">
        <v>-0.341</v>
      </c>
      <c r="F12" s="28" t="n">
        <v>-0.165</v>
      </c>
      <c r="G12" s="28" t="n">
        <v>0.098</v>
      </c>
      <c r="H12" s="28" t="n">
        <v>0.945</v>
      </c>
      <c r="I12" s="28" t="n">
        <v>1</v>
      </c>
      <c r="J12" s="28" t="n">
        <v>-0.433</v>
      </c>
      <c r="K12" s="28" t="n">
        <v>-0.311</v>
      </c>
    </row>
    <row r="13">
      <c r="A13" s="4" t="inlineStr">
        <is>
          <t>InterestCoverage</t>
        </is>
      </c>
      <c r="B13" s="28" t="n">
        <v>0.034</v>
      </c>
      <c r="C13" s="28" t="n">
        <v>0.454</v>
      </c>
      <c r="D13" s="28" t="n">
        <v>0.868</v>
      </c>
      <c r="E13" s="28" t="n">
        <v>0.862</v>
      </c>
      <c r="F13" s="28" t="n">
        <v>-0.136</v>
      </c>
      <c r="G13" s="28" t="n">
        <v>-0.331</v>
      </c>
      <c r="H13" s="28" t="n">
        <v>-0.458</v>
      </c>
      <c r="I13" s="28" t="n">
        <v>-0.433</v>
      </c>
      <c r="J13" s="28" t="n">
        <v>1</v>
      </c>
      <c r="K13" s="28" t="n">
        <v>0.492</v>
      </c>
    </row>
    <row r="14">
      <c r="A14" s="4" t="inlineStr">
        <is>
          <t>CurrentRatio</t>
        </is>
      </c>
      <c r="B14" s="28" t="n">
        <v>-0.133</v>
      </c>
      <c r="C14" s="28" t="n">
        <v>0.366</v>
      </c>
      <c r="D14" s="28" t="n">
        <v>0.451</v>
      </c>
      <c r="E14" s="28" t="n">
        <v>0.358</v>
      </c>
      <c r="F14" s="28" t="n">
        <v>0.038</v>
      </c>
      <c r="G14" s="28" t="n">
        <v>-0.522</v>
      </c>
      <c r="H14" s="28" t="n">
        <v>-0.432</v>
      </c>
      <c r="I14" s="28" t="n">
        <v>-0.311</v>
      </c>
      <c r="J14" s="28" t="n">
        <v>0.492</v>
      </c>
      <c r="K14" s="28" t="n">
        <v>1</v>
      </c>
    </row>
    <row r="16">
      <c r="A16" s="4" t="inlineStr">
        <is>
          <t>Multicollinearity shortlist (|r| &gt; 0.8) — kept out of one regression together:</t>
        </is>
      </c>
    </row>
    <row r="17">
      <c r="A17" s="2" t="inlineStr">
        <is>
          <t>ROE × AssetTurnover   r = +0.90</t>
        </is>
      </c>
    </row>
    <row r="18">
      <c r="A18" s="2" t="inlineStr">
        <is>
          <t>ROE × EquityMultiplier   r = +0.85</t>
        </is>
      </c>
    </row>
    <row r="19">
      <c r="A19" s="2" t="inlineStr">
        <is>
          <t>NetMargin × EBITMargin   r = +0.93</t>
        </is>
      </c>
    </row>
    <row r="20">
      <c r="A20" s="2" t="inlineStr">
        <is>
          <t>NetMargin × InterestCoverage   r = +0.87</t>
        </is>
      </c>
    </row>
    <row r="21">
      <c r="A21" s="2" t="inlineStr">
        <is>
          <t>EBITMargin × InterestCoverage   r = +0.86</t>
        </is>
      </c>
    </row>
    <row r="22">
      <c r="A22" s="2" t="inlineStr">
        <is>
          <t>DebtToEquity × DebtRatio   r = +0.95</t>
        </is>
      </c>
    </row>
    <row r="24">
      <c r="A24" s="2" t="inlineStr">
        <is>
          <t>Regression uses D/E + NetMargin + log(assets) — none of these pairs.</t>
        </is>
      </c>
    </row>
  </sheetData>
  <conditionalFormatting sqref="B5:K14">
    <cfRule type="colorScale" priority="1">
      <colorScale>
        <cfvo type="num" val="-1"/>
        <cfvo type="num" val="0"/>
        <cfvo type="num" val="1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2" customWidth="1" min="8" max="8"/>
  </cols>
  <sheetData>
    <row r="1">
      <c r="A1" s="1" t="inlineStr">
        <is>
          <t>OLS — ROE ~ DebtToEquity + NetMargin + log(TotalAssets)</t>
        </is>
      </c>
    </row>
    <row r="2">
      <c r="A2" s="2" t="inlineStr">
        <is>
          <t>pooled panel, 40 firm-years · computed in python (ols_regression.py) · significance flag is a live formula</t>
        </is>
      </c>
    </row>
    <row r="4">
      <c r="A4" s="9" t="inlineStr">
        <is>
          <t>Variable</t>
        </is>
      </c>
      <c r="B4" s="9" t="inlineStr">
        <is>
          <t>Coefficient</t>
        </is>
      </c>
      <c r="C4" s="9" t="inlineStr">
        <is>
          <t>StdErr</t>
        </is>
      </c>
      <c r="D4" s="9" t="inlineStr">
        <is>
          <t>p-value</t>
        </is>
      </c>
      <c r="E4" s="9" t="inlineStr">
        <is>
          <t>CI low</t>
        </is>
      </c>
      <c r="F4" s="9" t="inlineStr">
        <is>
          <t>CI high</t>
        </is>
      </c>
      <c r="G4" s="9" t="inlineStr">
        <is>
          <t>p (cluster)</t>
        </is>
      </c>
      <c r="H4" s="9" t="inlineStr">
        <is>
          <t>Sig (p&lt;0.05)</t>
        </is>
      </c>
      <c r="J4" s="3" t="inlineStr">
        <is>
          <t>Actual vs fitted (python residuals file)</t>
        </is>
      </c>
    </row>
    <row r="5">
      <c r="A5" t="inlineStr">
        <is>
          <t>Intercept</t>
        </is>
      </c>
      <c r="B5" s="29" t="n">
        <v>0.9795</v>
      </c>
      <c r="C5" s="29" t="n">
        <v>0.3742</v>
      </c>
      <c r="D5" s="29" t="n">
        <v>0.0129</v>
      </c>
      <c r="E5" s="29" t="n">
        <v>0.2205</v>
      </c>
      <c r="F5" s="29" t="n">
        <v>1.7384</v>
      </c>
      <c r="G5" s="29" t="n">
        <v>0.0728</v>
      </c>
      <c r="H5">
        <f>IF(D5&lt;0.05,"✓","·")</f>
        <v/>
      </c>
      <c r="J5" s="4" t="inlineStr">
        <is>
          <t>Company</t>
        </is>
      </c>
      <c r="K5" s="4" t="inlineStr">
        <is>
          <t>Year</t>
        </is>
      </c>
      <c r="L5" s="4" t="inlineStr">
        <is>
          <t>ROE</t>
        </is>
      </c>
      <c r="M5" s="4" t="inlineStr">
        <is>
          <t>Fitted</t>
        </is>
      </c>
    </row>
    <row r="6">
      <c r="A6" s="30" t="inlineStr">
        <is>
          <t>DebtToEquity</t>
        </is>
      </c>
      <c r="B6" s="29" t="n">
        <v>0.2754</v>
      </c>
      <c r="C6" s="29" t="n">
        <v>0.5954</v>
      </c>
      <c r="D6" s="29" t="n">
        <v>0.6465</v>
      </c>
      <c r="E6" s="29" t="n">
        <v>-0.9322</v>
      </c>
      <c r="F6" s="29" t="n">
        <v>1.4829</v>
      </c>
      <c r="G6" s="29" t="n">
        <v>0.7291</v>
      </c>
      <c r="H6">
        <f>IF(D6&lt;0.05,"✓","·")</f>
        <v/>
      </c>
      <c r="J6" s="7" t="inlineStr">
        <is>
          <t>HUL</t>
        </is>
      </c>
      <c r="K6" s="7" t="inlineStr">
        <is>
          <t>FY2022</t>
        </is>
      </c>
      <c r="L6" s="23" t="n">
        <v>0.1808</v>
      </c>
      <c r="M6" s="23" t="n">
        <v>0.2462</v>
      </c>
    </row>
    <row r="7">
      <c r="A7" t="inlineStr">
        <is>
          <t>NetMargin</t>
        </is>
      </c>
      <c r="B7" s="29" t="n">
        <v>0.4653</v>
      </c>
      <c r="C7" s="29" t="n">
        <v>0.7295</v>
      </c>
      <c r="D7" s="29" t="n">
        <v>0.5276</v>
      </c>
      <c r="E7" s="29" t="n">
        <v>-1.0142</v>
      </c>
      <c r="F7" s="29" t="n">
        <v>1.9447</v>
      </c>
      <c r="G7" s="29" t="n">
        <v>0.5819</v>
      </c>
      <c r="H7">
        <f>IF(D7&lt;0.05,"✓","·")</f>
        <v/>
      </c>
      <c r="J7" s="7" t="inlineStr">
        <is>
          <t>HUL</t>
        </is>
      </c>
      <c r="K7" s="7" t="inlineStr">
        <is>
          <t>FY2023</t>
        </is>
      </c>
      <c r="L7" s="23" t="n">
        <v>0.1984</v>
      </c>
      <c r="M7" s="23" t="n">
        <v>0.2425</v>
      </c>
    </row>
    <row r="8">
      <c r="A8" t="inlineStr">
        <is>
          <t>log_assets</t>
        </is>
      </c>
      <c r="B8" s="29" t="n">
        <v>-0.07340000000000001</v>
      </c>
      <c r="C8" s="29" t="n">
        <v>0.0387</v>
      </c>
      <c r="D8" s="29" t="n">
        <v>0.06610000000000001</v>
      </c>
      <c r="E8" s="29" t="n">
        <v>-0.152</v>
      </c>
      <c r="F8" s="29" t="n">
        <v>0.0052</v>
      </c>
      <c r="G8" s="29" t="n">
        <v>0.1695</v>
      </c>
      <c r="H8">
        <f>IF(D8&lt;0.05,"✓","·")</f>
        <v/>
      </c>
      <c r="J8" s="7" t="inlineStr">
        <is>
          <t>HUL</t>
        </is>
      </c>
      <c r="K8" s="7" t="inlineStr">
        <is>
          <t>FY2024</t>
        </is>
      </c>
      <c r="L8" s="23" t="n">
        <v>0.1984</v>
      </c>
      <c r="M8" s="23" t="n">
        <v>0.2385</v>
      </c>
    </row>
    <row r="9">
      <c r="J9" s="7" t="inlineStr">
        <is>
          <t>HUL</t>
        </is>
      </c>
      <c r="K9" s="7" t="inlineStr">
        <is>
          <t>FY2025</t>
        </is>
      </c>
      <c r="L9" s="23" t="n">
        <v>0.2165</v>
      </c>
      <c r="M9" s="23" t="n">
        <v>0.2437</v>
      </c>
    </row>
    <row r="10">
      <c r="A10" s="3" t="inlineStr">
        <is>
          <t>Model summary</t>
        </is>
      </c>
      <c r="J10" s="7" t="inlineStr">
        <is>
          <t>HUL</t>
        </is>
      </c>
      <c r="K10" s="7" t="inlineStr">
        <is>
          <t>FY2026</t>
        </is>
      </c>
      <c r="L10" s="23" t="n">
        <v>0.3134</v>
      </c>
      <c r="M10" s="23" t="n">
        <v>0.2756</v>
      </c>
    </row>
    <row r="11">
      <c r="A11" t="inlineStr">
        <is>
          <t>R-squared</t>
        </is>
      </c>
      <c r="B11" s="22" t="n">
        <v>0.0954</v>
      </c>
      <c r="J11" s="7" t="inlineStr">
        <is>
          <t>ITC</t>
        </is>
      </c>
      <c r="K11" s="7" t="inlineStr">
        <is>
          <t>FY2022</t>
        </is>
      </c>
      <c r="L11" s="23" t="n">
        <v>0.2452</v>
      </c>
      <c r="M11" s="23" t="n">
        <v>0.2809</v>
      </c>
    </row>
    <row r="12">
      <c r="A12" t="inlineStr">
        <is>
          <t>Adj R-squared</t>
        </is>
      </c>
      <c r="B12" s="22" t="n">
        <v>0.02</v>
      </c>
      <c r="J12" s="7" t="inlineStr">
        <is>
          <t>ITC</t>
        </is>
      </c>
      <c r="K12" s="7" t="inlineStr">
        <is>
          <t>FY2023</t>
        </is>
      </c>
      <c r="L12" s="23" t="n">
        <v>0.2774</v>
      </c>
      <c r="M12" s="23" t="n">
        <v>0.2819</v>
      </c>
    </row>
    <row r="13">
      <c r="A13" t="inlineStr">
        <is>
          <t>F-statistic</t>
        </is>
      </c>
      <c r="B13" s="22" t="n">
        <v>1.265</v>
      </c>
      <c r="J13" s="7" t="inlineStr">
        <is>
          <t>ITC</t>
        </is>
      </c>
      <c r="K13" s="7" t="inlineStr">
        <is>
          <t>FY2024</t>
        </is>
      </c>
      <c r="L13" s="23" t="n">
        <v>0.2827</v>
      </c>
      <c r="M13" s="23" t="n">
        <v>0.297</v>
      </c>
    </row>
    <row r="14">
      <c r="A14" t="inlineStr">
        <is>
          <t>F p-value</t>
        </is>
      </c>
      <c r="B14" s="22" t="n">
        <v>0.301</v>
      </c>
      <c r="J14" s="7" t="inlineStr">
        <is>
          <t>ITC</t>
        </is>
      </c>
      <c r="K14" s="7" t="inlineStr">
        <is>
          <t>FY2025</t>
        </is>
      </c>
      <c r="L14" s="23" t="n">
        <v>0.5184</v>
      </c>
      <c r="M14" s="23" t="n">
        <v>0.3838</v>
      </c>
    </row>
    <row r="15">
      <c r="A15" t="inlineStr">
        <is>
          <t>Observations</t>
        </is>
      </c>
      <c r="B15" s="22" t="n">
        <v>40</v>
      </c>
      <c r="J15" s="7" t="inlineStr">
        <is>
          <t>ITC</t>
        </is>
      </c>
      <c r="K15" s="7" t="inlineStr">
        <is>
          <t>FY2026</t>
        </is>
      </c>
      <c r="L15" s="23" t="n">
        <v>0.2901</v>
      </c>
      <c r="M15" s="23" t="n">
        <v>0.2824</v>
      </c>
    </row>
    <row r="16">
      <c r="A16" t="inlineStr">
        <is>
          <t>DoF residual</t>
        </is>
      </c>
      <c r="B16" s="22" t="n">
        <v>36</v>
      </c>
      <c r="J16" s="7" t="inlineStr">
        <is>
          <t>Dabur</t>
        </is>
      </c>
      <c r="K16" s="7" t="inlineStr">
        <is>
          <t>FY2022</t>
        </is>
      </c>
      <c r="L16" s="23" t="n">
        <v>0.2444</v>
      </c>
      <c r="M16" s="23" t="n">
        <v>0.4221</v>
      </c>
    </row>
    <row r="17">
      <c r="J17" s="7" t="inlineStr">
        <is>
          <t>Dabur</t>
        </is>
      </c>
      <c r="K17" s="7" t="inlineStr">
        <is>
          <t>FY2023</t>
        </is>
      </c>
      <c r="L17" s="23" t="n">
        <v>0.2184</v>
      </c>
      <c r="M17" s="23" t="n">
        <v>0.4086</v>
      </c>
    </row>
    <row r="18">
      <c r="A18" s="3" t="inlineStr">
        <is>
          <t>Plain-English read</t>
        </is>
      </c>
      <c r="J18" s="7" t="inlineStr">
        <is>
          <t>Dabur</t>
        </is>
      </c>
      <c r="K18" s="7" t="inlineStr">
        <is>
          <t>FY2024</t>
        </is>
      </c>
      <c r="L18" s="23" t="n">
        <v>0.2182</v>
      </c>
      <c r="M18" s="23" t="n">
        <v>0.4071</v>
      </c>
    </row>
    <row r="19">
      <c r="A19" t="inlineStr">
        <is>
          <t>R² = 0.10: the three variables explain ~10% of ROE variation — LOW, and that is the finding, not a failure:</t>
        </is>
      </c>
      <c r="J19" s="7" t="inlineStr">
        <is>
          <t>Dabur</t>
        </is>
      </c>
      <c r="K19" s="7" t="inlineStr">
        <is>
          <t>FY2025</t>
        </is>
      </c>
      <c r="L19" s="23" t="n">
        <v>0.189</v>
      </c>
      <c r="M19" s="23" t="n">
        <v>0.3822</v>
      </c>
    </row>
    <row r="20">
      <c r="A20" t="inlineStr">
        <is>
          <t>in this universe leverage barely varies (median D/E ≈ 0.04), so it cannot statistically separate high-ROE firms from low-ROE firms.</t>
        </is>
      </c>
      <c r="J20" s="7" t="inlineStr">
        <is>
          <t>Dabur</t>
        </is>
      </c>
      <c r="K20" s="7" t="inlineStr">
        <is>
          <t>FY2026</t>
        </is>
      </c>
      <c r="L20" s="23" t="n">
        <v>0.1981</v>
      </c>
      <c r="M20" s="23" t="n">
        <v>0.3875</v>
      </c>
    </row>
    <row r="21">
      <c r="A21" t="inlineStr">
        <is>
          <t>The correlation sheet shows what does: AssetTurnover (r ≈ 0.90) and EquityMultiplier (r ≈ 0.85) — FMCG ROE is turnover- and float-driven.</t>
        </is>
      </c>
      <c r="J21" s="7" t="inlineStr">
        <is>
          <t>Marico</t>
        </is>
      </c>
      <c r="K21" s="7" t="inlineStr">
        <is>
          <t>FY2022</t>
        </is>
      </c>
      <c r="L21" s="23" t="n">
        <v>0.3814</v>
      </c>
      <c r="M21" s="23" t="n">
        <v>0.452</v>
      </c>
    </row>
    <row r="22">
      <c r="A22" t="inlineStr">
        <is>
          <t>No coefficient survives firm-clustered errors at 5% — with 8 firms, pooled firm-years are not 40 independent observations.</t>
        </is>
      </c>
      <c r="J22" s="7" t="inlineStr">
        <is>
          <t>Marico</t>
        </is>
      </c>
      <c r="K22" s="7" t="inlineStr">
        <is>
          <t>FY2023</t>
        </is>
      </c>
      <c r="L22" s="23" t="n">
        <v>0.3206</v>
      </c>
      <c r="M22" s="23" t="n">
        <v>0.4386</v>
      </c>
    </row>
    <row r="23">
      <c r="A23" t="inlineStr">
        <is>
          <t>D/E's coefficient is positive but insignificant — consistent with the threshold sheet: mild leverage coincides with higher ROE, more does not.</t>
        </is>
      </c>
      <c r="J23" s="7" t="inlineStr">
        <is>
          <t>Marico</t>
        </is>
      </c>
      <c r="K23" s="7" t="inlineStr">
        <is>
          <t>FY2024</t>
        </is>
      </c>
      <c r="L23" s="23" t="n">
        <v>0.2997</v>
      </c>
      <c r="M23" s="23" t="n">
        <v>0.4438</v>
      </c>
    </row>
    <row r="24">
      <c r="J24" s="7" t="inlineStr">
        <is>
          <t>Marico</t>
        </is>
      </c>
      <c r="K24" s="7" t="inlineStr">
        <is>
          <t>FY2025</t>
        </is>
      </c>
      <c r="L24" s="23" t="n">
        <v>0.3235</v>
      </c>
      <c r="M24" s="23" t="n">
        <v>0.4505</v>
      </c>
    </row>
    <row r="25">
      <c r="J25" s="7" t="inlineStr">
        <is>
          <t>Marico</t>
        </is>
      </c>
      <c r="K25" s="7" t="inlineStr">
        <is>
          <t>FY2026</t>
        </is>
      </c>
      <c r="L25" s="23" t="n">
        <v>0.3342</v>
      </c>
      <c r="M25" s="23" t="n">
        <v>0.4277</v>
      </c>
    </row>
    <row r="26">
      <c r="J26" s="7" t="inlineStr">
        <is>
          <t>Colgate</t>
        </is>
      </c>
      <c r="K26" s="7" t="inlineStr">
        <is>
          <t>FY2022</t>
        </is>
      </c>
      <c r="L26" s="23" t="n">
        <v>0.6217</v>
      </c>
      <c r="M26" s="23" t="n">
        <v>0.5054999999999999</v>
      </c>
    </row>
    <row r="27">
      <c r="J27" s="7" t="inlineStr">
        <is>
          <t>Colgate</t>
        </is>
      </c>
      <c r="K27" s="7" t="inlineStr">
        <is>
          <t>FY2023</t>
        </is>
      </c>
      <c r="L27" s="23" t="n">
        <v>0.6101</v>
      </c>
      <c r="M27" s="23" t="n">
        <v>0.4988</v>
      </c>
    </row>
    <row r="28">
      <c r="J28" s="7" t="inlineStr">
        <is>
          <t>Colgate</t>
        </is>
      </c>
      <c r="K28" s="7" t="inlineStr">
        <is>
          <t>FY2024</t>
        </is>
      </c>
      <c r="L28" s="23" t="n">
        <v>0.7065</v>
      </c>
      <c r="M28" s="23" t="n">
        <v>0.5059</v>
      </c>
    </row>
    <row r="29">
      <c r="J29" s="7" t="inlineStr">
        <is>
          <t>Colgate</t>
        </is>
      </c>
      <c r="K29" s="7" t="inlineStr">
        <is>
          <t>FY2025</t>
        </is>
      </c>
      <c r="L29" s="23" t="n">
        <v>0.8636</v>
      </c>
      <c r="M29" s="23" t="n">
        <v>0.5119</v>
      </c>
    </row>
    <row r="30">
      <c r="J30" s="7" t="inlineStr">
        <is>
          <t>Colgate</t>
        </is>
      </c>
      <c r="K30" s="7" t="inlineStr">
        <is>
          <t>FY2026</t>
        </is>
      </c>
      <c r="L30" s="23" t="n">
        <v>0.8365</v>
      </c>
      <c r="M30" s="23" t="n">
        <v>0.4925</v>
      </c>
    </row>
    <row r="31">
      <c r="J31" s="7" t="inlineStr">
        <is>
          <t>Nestle</t>
        </is>
      </c>
      <c r="K31" s="7" t="inlineStr">
        <is>
          <t>FY2022</t>
        </is>
      </c>
      <c r="L31" s="23" t="n">
        <v>0.9723000000000001</v>
      </c>
      <c r="M31" s="23" t="n">
        <v>0.4073</v>
      </c>
    </row>
    <row r="32">
      <c r="J32" s="7" t="inlineStr">
        <is>
          <t>Nestle</t>
        </is>
      </c>
      <c r="K32" s="7" t="inlineStr">
        <is>
          <t>FY2023</t>
        </is>
      </c>
      <c r="L32" s="23" t="n">
        <v>1.2196</v>
      </c>
      <c r="M32" s="23" t="n">
        <v>0.4144</v>
      </c>
    </row>
    <row r="33">
      <c r="J33" s="7" t="inlineStr">
        <is>
          <t>Nestle</t>
        </is>
      </c>
      <c r="K33" s="7" t="inlineStr">
        <is>
          <t>FY2024</t>
        </is>
      </c>
      <c r="L33" s="23" t="n">
        <v>1.1775</v>
      </c>
      <c r="M33" s="23" t="n">
        <v>0.4029</v>
      </c>
    </row>
    <row r="34">
      <c r="J34" s="7" t="inlineStr">
        <is>
          <t>Nestle</t>
        </is>
      </c>
      <c r="K34" s="7" t="inlineStr">
        <is>
          <t>FY2025</t>
        </is>
      </c>
      <c r="L34" s="23" t="n">
        <v>0.805</v>
      </c>
      <c r="M34" s="23" t="n">
        <v>0.4422</v>
      </c>
    </row>
    <row r="35">
      <c r="J35" s="7" t="inlineStr">
        <is>
          <t>Nestle</t>
        </is>
      </c>
      <c r="K35" s="7" t="inlineStr">
        <is>
          <t>FY2026</t>
        </is>
      </c>
      <c r="L35" s="23" t="n">
        <v>0.6677</v>
      </c>
      <c r="M35" s="23" t="n">
        <v>0.3762</v>
      </c>
    </row>
    <row r="36">
      <c r="J36" s="7" t="inlineStr">
        <is>
          <t>Godrej</t>
        </is>
      </c>
      <c r="K36" s="7" t="inlineStr">
        <is>
          <t>FY2022</t>
        </is>
      </c>
      <c r="L36" s="23" t="n">
        <v>0.1884</v>
      </c>
      <c r="M36" s="23" t="n">
        <v>0.4119</v>
      </c>
    </row>
    <row r="37">
      <c r="J37" s="7" t="inlineStr">
        <is>
          <t>Godrej</t>
        </is>
      </c>
      <c r="K37" s="7" t="inlineStr">
        <is>
          <t>FY2023</t>
        </is>
      </c>
      <c r="L37" s="23" t="n">
        <v>0.1613</v>
      </c>
      <c r="M37" s="23" t="n">
        <v>0.393</v>
      </c>
    </row>
    <row r="38">
      <c r="J38" s="7" t="inlineStr">
        <is>
          <t>Godrej</t>
        </is>
      </c>
      <c r="K38" s="7" t="inlineStr">
        <is>
          <t>FY2024</t>
        </is>
      </c>
      <c r="L38" s="23" t="n">
        <v>0.0677</v>
      </c>
      <c r="M38" s="23" t="n">
        <v>0.3777</v>
      </c>
    </row>
    <row r="39">
      <c r="J39" s="7" t="inlineStr">
        <is>
          <t>Godrej</t>
        </is>
      </c>
      <c r="K39" s="7" t="inlineStr">
        <is>
          <t>FY2025</t>
        </is>
      </c>
      <c r="L39" s="23" t="n">
        <v>0.1615</v>
      </c>
      <c r="M39" s="23" t="n">
        <v>0.4395</v>
      </c>
    </row>
    <row r="40">
      <c r="J40" s="7" t="inlineStr">
        <is>
          <t>Godrej</t>
        </is>
      </c>
      <c r="K40" s="7" t="inlineStr">
        <is>
          <t>FY2026</t>
        </is>
      </c>
      <c r="L40" s="23" t="n">
        <v>0.1933</v>
      </c>
      <c r="M40" s="23" t="n">
        <v>0.4598</v>
      </c>
    </row>
    <row r="41">
      <c r="J41" s="7" t="inlineStr">
        <is>
          <t>Emami</t>
        </is>
      </c>
      <c r="K41" s="7" t="inlineStr">
        <is>
          <t>FY2022</t>
        </is>
      </c>
      <c r="L41" s="23" t="n">
        <v>0.408</v>
      </c>
      <c r="M41" s="23" t="n">
        <v>0.5636</v>
      </c>
    </row>
    <row r="42">
      <c r="J42" s="7" t="inlineStr">
        <is>
          <t>Emami</t>
        </is>
      </c>
      <c r="K42" s="7" t="inlineStr">
        <is>
          <t>FY2023</t>
        </is>
      </c>
      <c r="L42" s="23" t="n">
        <v>0.2535</v>
      </c>
      <c r="M42" s="23" t="n">
        <v>0.4924</v>
      </c>
    </row>
    <row r="43">
      <c r="J43" s="7" t="inlineStr">
        <is>
          <t>Emami</t>
        </is>
      </c>
      <c r="K43" s="7" t="inlineStr">
        <is>
          <t>FY2024</t>
        </is>
      </c>
      <c r="L43" s="23" t="n">
        <v>0.2908</v>
      </c>
      <c r="M43" s="23" t="n">
        <v>0.5083</v>
      </c>
    </row>
    <row r="44">
      <c r="J44" s="7" t="inlineStr">
        <is>
          <t>Emami</t>
        </is>
      </c>
      <c r="K44" s="7" t="inlineStr">
        <is>
          <t>FY2025</t>
        </is>
      </c>
      <c r="L44" s="23" t="n">
        <v>0.2995</v>
      </c>
      <c r="M44" s="23" t="n">
        <v>0.512</v>
      </c>
    </row>
    <row r="45">
      <c r="J45" s="7" t="inlineStr">
        <is>
          <t>Emami</t>
        </is>
      </c>
      <c r="K45" s="7" t="inlineStr">
        <is>
          <t>FY2026</t>
        </is>
      </c>
      <c r="L45" s="23" t="n">
        <v>0.2668</v>
      </c>
      <c r="M45" s="23" t="n">
        <v>0.5122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2" customWidth="1" min="14" max="14"/>
    <col width="10" customWidth="1" min="15" max="15"/>
    <col width="12" customWidth="1" min="16" max="16"/>
    <col width="10" customWidth="1" min="17" max="17"/>
    <col width="11" customWidth="1" min="18" max="18"/>
    <col width="10" customWidth="1" min="19" max="19"/>
    <col width="9" customWidth="1" min="20" max="20"/>
  </cols>
  <sheetData>
    <row r="1">
      <c r="A1" s="1" t="inlineStr">
        <is>
          <t>DCF - FCFF — 5-year projection, Gordon terminal value</t>
        </is>
      </c>
    </row>
    <row r="2">
      <c r="A2" s="2" t="inlineStr">
        <is>
          <t>yellow = growth assumptions · flows/rates are formulas into Raw Data / WACC — nothing hardcoded</t>
        </is>
      </c>
    </row>
    <row r="4">
      <c r="A4" t="inlineStr">
        <is>
          <t>Terminal growth g</t>
        </is>
      </c>
      <c r="B4" s="24" t="n">
        <v>0.04</v>
      </c>
    </row>
    <row r="5">
      <c r="A5" t="inlineStr">
        <is>
          <t>Forecast growth floor</t>
        </is>
      </c>
      <c r="B5" s="24" t="n">
        <v>0.03</v>
      </c>
    </row>
    <row r="6">
      <c r="A6" t="inlineStr">
        <is>
          <t>Forecast growth cap</t>
        </is>
      </c>
      <c r="B6" s="24" t="n">
        <v>0.15</v>
      </c>
    </row>
    <row r="8">
      <c r="A8" s="3" t="inlineStr">
        <is>
          <t>Historical FCFF per FY (formulas)</t>
        </is>
      </c>
    </row>
    <row r="9">
      <c r="B9" s="4" t="inlineStr">
        <is>
          <t>FY2022</t>
        </is>
      </c>
      <c r="C9" s="4" t="inlineStr">
        <is>
          <t>FY2023</t>
        </is>
      </c>
      <c r="D9" s="4" t="inlineStr">
        <is>
          <t>FY2024</t>
        </is>
      </c>
      <c r="E9" s="4" t="inlineStr">
        <is>
          <t>FY2025</t>
        </is>
      </c>
      <c r="F9" s="4" t="inlineStr">
        <is>
          <t>FY2026</t>
        </is>
      </c>
    </row>
    <row r="10">
      <c r="A10" t="inlineStr">
        <is>
          <t>HUL</t>
        </is>
      </c>
      <c r="B10" s="13">
        <f>'Raw Data'!S2+'Raw Data'!F2*(1-'Raw Data'!V2)-'Raw Data'!AB2</f>
        <v/>
      </c>
      <c r="C10" s="13">
        <f>'Raw Data'!S3+'Raw Data'!F3*(1-'Raw Data'!V3)-'Raw Data'!AB3</f>
        <v/>
      </c>
      <c r="D10" s="13">
        <f>'Raw Data'!S4+'Raw Data'!F4*(1-'Raw Data'!V4)-'Raw Data'!AB4</f>
        <v/>
      </c>
      <c r="E10" s="13">
        <f>'Raw Data'!S5+'Raw Data'!F5*(1-'Raw Data'!V5)-'Raw Data'!AB5</f>
        <v/>
      </c>
      <c r="F10" s="13">
        <f>'Raw Data'!S6+'Raw Data'!F6*(1-'Raw Data'!V6)-'Raw Data'!AB6</f>
        <v/>
      </c>
    </row>
    <row r="11">
      <c r="A11" t="inlineStr">
        <is>
          <t>ITC</t>
        </is>
      </c>
      <c r="B11" s="13">
        <f>'Raw Data'!S7+'Raw Data'!F7*(1-'Raw Data'!V7)-'Raw Data'!AB7</f>
        <v/>
      </c>
      <c r="C11" s="13">
        <f>'Raw Data'!S8+'Raw Data'!F8*(1-'Raw Data'!V8)-'Raw Data'!AB8</f>
        <v/>
      </c>
      <c r="D11" s="13">
        <f>'Raw Data'!S9+'Raw Data'!F9*(1-'Raw Data'!V9)-'Raw Data'!AB9</f>
        <v/>
      </c>
      <c r="E11" s="13">
        <f>'Raw Data'!S10+'Raw Data'!F10*(1-'Raw Data'!V10)-'Raw Data'!AB10</f>
        <v/>
      </c>
      <c r="F11" s="13">
        <f>'Raw Data'!S11+'Raw Data'!F11*(1-'Raw Data'!V11)-'Raw Data'!AB11</f>
        <v/>
      </c>
    </row>
    <row r="12">
      <c r="A12" t="inlineStr">
        <is>
          <t>Dabur</t>
        </is>
      </c>
      <c r="B12" s="13">
        <f>'Raw Data'!S12+'Raw Data'!F12*(1-'Raw Data'!V12)-'Raw Data'!AB12</f>
        <v/>
      </c>
      <c r="C12" s="13">
        <f>'Raw Data'!S13+'Raw Data'!F13*(1-'Raw Data'!V13)-'Raw Data'!AB13</f>
        <v/>
      </c>
      <c r="D12" s="13">
        <f>'Raw Data'!S14+'Raw Data'!F14*(1-'Raw Data'!V14)-'Raw Data'!AB14</f>
        <v/>
      </c>
      <c r="E12" s="13">
        <f>'Raw Data'!S15+'Raw Data'!F15*(1-'Raw Data'!V15)-'Raw Data'!AB15</f>
        <v/>
      </c>
      <c r="F12" s="13">
        <f>'Raw Data'!S16+'Raw Data'!F16*(1-'Raw Data'!V16)-'Raw Data'!AB16</f>
        <v/>
      </c>
    </row>
    <row r="13">
      <c r="A13" t="inlineStr">
        <is>
          <t>Marico</t>
        </is>
      </c>
      <c r="B13" s="13">
        <f>'Raw Data'!S17+'Raw Data'!F17*(1-'Raw Data'!V17)-'Raw Data'!AB17</f>
        <v/>
      </c>
      <c r="C13" s="13">
        <f>'Raw Data'!S18+'Raw Data'!F18*(1-'Raw Data'!V18)-'Raw Data'!AB18</f>
        <v/>
      </c>
      <c r="D13" s="13">
        <f>'Raw Data'!S19+'Raw Data'!F19*(1-'Raw Data'!V19)-'Raw Data'!AB19</f>
        <v/>
      </c>
      <c r="E13" s="13">
        <f>'Raw Data'!S20+'Raw Data'!F20*(1-'Raw Data'!V20)-'Raw Data'!AB20</f>
        <v/>
      </c>
      <c r="F13" s="13">
        <f>'Raw Data'!S21+'Raw Data'!F21*(1-'Raw Data'!V21)-'Raw Data'!AB21</f>
        <v/>
      </c>
    </row>
    <row r="14">
      <c r="A14" t="inlineStr">
        <is>
          <t>Colgate</t>
        </is>
      </c>
      <c r="B14" s="13">
        <f>'Raw Data'!S22+'Raw Data'!F22*(1-'Raw Data'!V22)-'Raw Data'!AB22</f>
        <v/>
      </c>
      <c r="C14" s="13">
        <f>'Raw Data'!S23+'Raw Data'!F23*(1-'Raw Data'!V23)-'Raw Data'!AB23</f>
        <v/>
      </c>
      <c r="D14" s="13">
        <f>'Raw Data'!S24+'Raw Data'!F24*(1-'Raw Data'!V24)-'Raw Data'!AB24</f>
        <v/>
      </c>
      <c r="E14" s="13">
        <f>'Raw Data'!S25+'Raw Data'!F25*(1-'Raw Data'!V25)-'Raw Data'!AB25</f>
        <v/>
      </c>
      <c r="F14" s="13">
        <f>'Raw Data'!S26+'Raw Data'!F26*(1-'Raw Data'!V26)-'Raw Data'!AB26</f>
        <v/>
      </c>
    </row>
    <row r="15">
      <c r="A15" t="inlineStr">
        <is>
          <t>Nestle</t>
        </is>
      </c>
      <c r="B15" s="13">
        <f>'Raw Data'!S27+'Raw Data'!F27*(1-'Raw Data'!V27)-'Raw Data'!AB27</f>
        <v/>
      </c>
      <c r="C15" s="13">
        <f>'Raw Data'!S28+'Raw Data'!F28*(1-'Raw Data'!V28)-'Raw Data'!AB28</f>
        <v/>
      </c>
      <c r="D15" s="13">
        <f>'Raw Data'!S29+'Raw Data'!F29*(1-'Raw Data'!V29)-'Raw Data'!AB29</f>
        <v/>
      </c>
      <c r="E15" s="13">
        <f>'Raw Data'!S30+'Raw Data'!F30*(1-'Raw Data'!V30)-'Raw Data'!AB30</f>
        <v/>
      </c>
      <c r="F15" s="13">
        <f>'Raw Data'!S31+'Raw Data'!F31*(1-'Raw Data'!V31)-'Raw Data'!AB31</f>
        <v/>
      </c>
    </row>
    <row r="16">
      <c r="A16" t="inlineStr">
        <is>
          <t>Godrej</t>
        </is>
      </c>
      <c r="B16" s="13">
        <f>'Raw Data'!S32+'Raw Data'!F32*(1-'Raw Data'!V32)-'Raw Data'!AB32</f>
        <v/>
      </c>
      <c r="C16" s="13">
        <f>'Raw Data'!S33+'Raw Data'!F33*(1-'Raw Data'!V33)-'Raw Data'!AB33</f>
        <v/>
      </c>
      <c r="D16" s="13">
        <f>'Raw Data'!S34+'Raw Data'!F34*(1-'Raw Data'!V34)-'Raw Data'!AB34</f>
        <v/>
      </c>
      <c r="E16" s="13">
        <f>'Raw Data'!S35+'Raw Data'!F35*(1-'Raw Data'!V35)-'Raw Data'!AB35</f>
        <v/>
      </c>
      <c r="F16" s="13">
        <f>'Raw Data'!S36+'Raw Data'!F36*(1-'Raw Data'!V36)-'Raw Data'!AB36</f>
        <v/>
      </c>
    </row>
    <row r="17">
      <c r="A17" t="inlineStr">
        <is>
          <t>Emami</t>
        </is>
      </c>
      <c r="B17" s="13">
        <f>'Raw Data'!S37+'Raw Data'!F37*(1-'Raw Data'!V37)-'Raw Data'!AB37</f>
        <v/>
      </c>
      <c r="C17" s="13">
        <f>'Raw Data'!S38+'Raw Data'!F38*(1-'Raw Data'!V38)-'Raw Data'!AB38</f>
        <v/>
      </c>
      <c r="D17" s="13">
        <f>'Raw Data'!S39+'Raw Data'!F39*(1-'Raw Data'!V39)-'Raw Data'!AB39</f>
        <v/>
      </c>
      <c r="E17" s="13">
        <f>'Raw Data'!S40+'Raw Data'!F40*(1-'Raw Data'!V40)-'Raw Data'!AB40</f>
        <v/>
      </c>
      <c r="F17" s="13">
        <f>'Raw Data'!S41+'Raw Data'!F41*(1-'Raw Data'!V41)-'Raw Data'!AB41</f>
        <v/>
      </c>
    </row>
    <row r="20">
      <c r="A20" s="9" t="inlineStr">
        <is>
          <t>Company</t>
        </is>
      </c>
      <c r="B20" s="9" t="inlineStr">
        <is>
          <t>Base FCFF</t>
        </is>
      </c>
      <c r="C20" s="9" t="inlineStr">
        <is>
          <t>Rev CAGR raw</t>
        </is>
      </c>
      <c r="D20" s="9" t="inlineStr">
        <is>
          <t>g used</t>
        </is>
      </c>
      <c r="E20" s="9" t="inlineStr">
        <is>
          <t>Rate</t>
        </is>
      </c>
      <c r="F20" s="9" t="inlineStr">
        <is>
          <t>Y1</t>
        </is>
      </c>
      <c r="G20" s="9" t="inlineStr">
        <is>
          <t>Y2</t>
        </is>
      </c>
      <c r="H20" s="9" t="inlineStr">
        <is>
          <t>Y3</t>
        </is>
      </c>
      <c r="I20" s="9" t="inlineStr">
        <is>
          <t>Y4</t>
        </is>
      </c>
      <c r="J20" s="9" t="inlineStr">
        <is>
          <t>Y5</t>
        </is>
      </c>
      <c r="K20" s="9" t="inlineStr">
        <is>
          <t>PV(Y1..Y5)</t>
        </is>
      </c>
      <c r="L20" s="9" t="inlineStr">
        <is>
          <t>TV</t>
        </is>
      </c>
      <c r="M20" s="9" t="inlineStr">
        <is>
          <t>PV(TV)</t>
        </is>
      </c>
      <c r="N20" s="9" t="inlineStr">
        <is>
          <t>PV total</t>
        </is>
      </c>
      <c r="O20" s="9" t="inlineStr">
        <is>
          <t>Net debt</t>
        </is>
      </c>
      <c r="P20" s="9" t="inlineStr">
        <is>
          <t>Equity value</t>
        </is>
      </c>
      <c r="Q20" s="9" t="inlineStr">
        <is>
          <t>Shares (Cr)</t>
        </is>
      </c>
      <c r="R20" s="9" t="inlineStr">
        <is>
          <t>Value/share</t>
        </is>
      </c>
      <c r="S20" s="9" t="inlineStr">
        <is>
          <t>Mkt price</t>
        </is>
      </c>
      <c r="T20" s="9" t="inlineStr">
        <is>
          <t>Upside</t>
        </is>
      </c>
    </row>
    <row r="21">
      <c r="A21" t="inlineStr">
        <is>
          <t>HUL</t>
        </is>
      </c>
      <c r="B21" s="13">
        <f>AVERAGE(D10:F10)</f>
        <v/>
      </c>
      <c r="C21" s="25">
        <f>('Raw Data'!C6/'Raw Data'!C2)^(1/4)-1</f>
        <v/>
      </c>
      <c r="D21" s="25">
        <f>MIN(MAX(C21,$B$5),$B$6)</f>
        <v/>
      </c>
      <c r="E21" s="25">
        <f>'WACC'!M10</f>
        <v/>
      </c>
      <c r="F21" s="13">
        <f>B21*(1+D21)^1</f>
        <v/>
      </c>
      <c r="G21" s="13">
        <f>B21*(1+D21)^2</f>
        <v/>
      </c>
      <c r="H21" s="13">
        <f>B21*(1+D21)^3</f>
        <v/>
      </c>
      <c r="I21" s="13">
        <f>B21*(1+D21)^4</f>
        <v/>
      </c>
      <c r="J21" s="13">
        <f>B21*(1+D21)^5</f>
        <v/>
      </c>
      <c r="K21" s="13">
        <f>SUMPRODUCT(F21:J21/POWER(1+E21,{1,2,3,4,5}))</f>
        <v/>
      </c>
      <c r="L21" s="13">
        <f>IF(E21-$B$4&lt;0.01,NA(),J21*(1+$B$4)/(E21-$B$4))</f>
        <v/>
      </c>
      <c r="M21" s="13">
        <f>L21/POWER(1+E21,5)</f>
        <v/>
      </c>
      <c r="N21" s="31">
        <f>K21+M21</f>
        <v/>
      </c>
      <c r="O21" s="13">
        <f>'Raw Data'!M6-'Raw Data'!O6</f>
        <v/>
      </c>
      <c r="P21" s="13">
        <f>N21-O21</f>
        <v/>
      </c>
      <c r="Q21" s="14">
        <f>'Raw Data'!AD6</f>
        <v/>
      </c>
      <c r="R21" s="31">
        <f>P21/Q21</f>
        <v/>
      </c>
      <c r="S21" s="13">
        <f>'Market Data'!C2</f>
        <v/>
      </c>
      <c r="T21" s="12">
        <f>R21/S21-1</f>
        <v/>
      </c>
    </row>
    <row r="22">
      <c r="A22" t="inlineStr">
        <is>
          <t>ITC</t>
        </is>
      </c>
      <c r="B22" s="13">
        <f>AVERAGE(D11:F11)</f>
        <v/>
      </c>
      <c r="C22" s="25">
        <f>('Raw Data'!C11/'Raw Data'!C7)^(1/4)-1</f>
        <v/>
      </c>
      <c r="D22" s="25">
        <f>MIN(MAX(C22,$B$5),$B$6)</f>
        <v/>
      </c>
      <c r="E22" s="25">
        <f>'WACC'!M11</f>
        <v/>
      </c>
      <c r="F22" s="13">
        <f>B22*(1+D22)^1</f>
        <v/>
      </c>
      <c r="G22" s="13">
        <f>B22*(1+D22)^2</f>
        <v/>
      </c>
      <c r="H22" s="13">
        <f>B22*(1+D22)^3</f>
        <v/>
      </c>
      <c r="I22" s="13">
        <f>B22*(1+D22)^4</f>
        <v/>
      </c>
      <c r="J22" s="13">
        <f>B22*(1+D22)^5</f>
        <v/>
      </c>
      <c r="K22" s="13">
        <f>SUMPRODUCT(F22:J22/POWER(1+E22,{1,2,3,4,5}))</f>
        <v/>
      </c>
      <c r="L22" s="13">
        <f>IF(E22-$B$4&lt;0.01,NA(),J22*(1+$B$4)/(E22-$B$4))</f>
        <v/>
      </c>
      <c r="M22" s="13">
        <f>L22/POWER(1+E22,5)</f>
        <v/>
      </c>
      <c r="N22" s="31">
        <f>K22+M22</f>
        <v/>
      </c>
      <c r="O22" s="13">
        <f>'Raw Data'!M11-'Raw Data'!O11</f>
        <v/>
      </c>
      <c r="P22" s="13">
        <f>N22-O22</f>
        <v/>
      </c>
      <c r="Q22" s="14">
        <f>'Raw Data'!AD11</f>
        <v/>
      </c>
      <c r="R22" s="31">
        <f>P22/Q22</f>
        <v/>
      </c>
      <c r="S22" s="13">
        <f>'Market Data'!C3</f>
        <v/>
      </c>
      <c r="T22" s="12">
        <f>R22/S22-1</f>
        <v/>
      </c>
    </row>
    <row r="23">
      <c r="A23" t="inlineStr">
        <is>
          <t>Dabur</t>
        </is>
      </c>
      <c r="B23" s="13">
        <f>AVERAGE(D12:F12)</f>
        <v/>
      </c>
      <c r="C23" s="25">
        <f>('Raw Data'!C16/'Raw Data'!C12)^(1/4)-1</f>
        <v/>
      </c>
      <c r="D23" s="25">
        <f>MIN(MAX(C23,$B$5),$B$6)</f>
        <v/>
      </c>
      <c r="E23" s="25">
        <f>'WACC'!M12</f>
        <v/>
      </c>
      <c r="F23" s="13">
        <f>B23*(1+D23)^1</f>
        <v/>
      </c>
      <c r="G23" s="13">
        <f>B23*(1+D23)^2</f>
        <v/>
      </c>
      <c r="H23" s="13">
        <f>B23*(1+D23)^3</f>
        <v/>
      </c>
      <c r="I23" s="13">
        <f>B23*(1+D23)^4</f>
        <v/>
      </c>
      <c r="J23" s="13">
        <f>B23*(1+D23)^5</f>
        <v/>
      </c>
      <c r="K23" s="13">
        <f>SUMPRODUCT(F23:J23/POWER(1+E23,{1,2,3,4,5}))</f>
        <v/>
      </c>
      <c r="L23" s="13">
        <f>IF(E23-$B$4&lt;0.01,NA(),J23*(1+$B$4)/(E23-$B$4))</f>
        <v/>
      </c>
      <c r="M23" s="13">
        <f>L23/POWER(1+E23,5)</f>
        <v/>
      </c>
      <c r="N23" s="31">
        <f>K23+M23</f>
        <v/>
      </c>
      <c r="O23" s="13">
        <f>'Raw Data'!M16-'Raw Data'!O16</f>
        <v/>
      </c>
      <c r="P23" s="13">
        <f>N23-O23</f>
        <v/>
      </c>
      <c r="Q23" s="14">
        <f>'Raw Data'!AD16</f>
        <v/>
      </c>
      <c r="R23" s="31">
        <f>P23/Q23</f>
        <v/>
      </c>
      <c r="S23" s="13">
        <f>'Market Data'!C4</f>
        <v/>
      </c>
      <c r="T23" s="12">
        <f>R23/S23-1</f>
        <v/>
      </c>
    </row>
    <row r="24">
      <c r="A24" t="inlineStr">
        <is>
          <t>Marico</t>
        </is>
      </c>
      <c r="B24" s="13">
        <f>AVERAGE(D13:F13)</f>
        <v/>
      </c>
      <c r="C24" s="25">
        <f>('Raw Data'!C21/'Raw Data'!C17)^(1/4)-1</f>
        <v/>
      </c>
      <c r="D24" s="25">
        <f>MIN(MAX(C24,$B$5),$B$6)</f>
        <v/>
      </c>
      <c r="E24" s="25">
        <f>'WACC'!M13</f>
        <v/>
      </c>
      <c r="F24" s="13">
        <f>B24*(1+D24)^1</f>
        <v/>
      </c>
      <c r="G24" s="13">
        <f>B24*(1+D24)^2</f>
        <v/>
      </c>
      <c r="H24" s="13">
        <f>B24*(1+D24)^3</f>
        <v/>
      </c>
      <c r="I24" s="13">
        <f>B24*(1+D24)^4</f>
        <v/>
      </c>
      <c r="J24" s="13">
        <f>B24*(1+D24)^5</f>
        <v/>
      </c>
      <c r="K24" s="13">
        <f>SUMPRODUCT(F24:J24/POWER(1+E24,{1,2,3,4,5}))</f>
        <v/>
      </c>
      <c r="L24" s="13">
        <f>IF(E24-$B$4&lt;0.01,NA(),J24*(1+$B$4)/(E24-$B$4))</f>
        <v/>
      </c>
      <c r="M24" s="13">
        <f>L24/POWER(1+E24,5)</f>
        <v/>
      </c>
      <c r="N24" s="31">
        <f>K24+M24</f>
        <v/>
      </c>
      <c r="O24" s="13">
        <f>'Raw Data'!M21-'Raw Data'!O21</f>
        <v/>
      </c>
      <c r="P24" s="13">
        <f>N24-O24</f>
        <v/>
      </c>
      <c r="Q24" s="14">
        <f>'Raw Data'!AD21</f>
        <v/>
      </c>
      <c r="R24" s="31">
        <f>P24/Q24</f>
        <v/>
      </c>
      <c r="S24" s="13">
        <f>'Market Data'!C5</f>
        <v/>
      </c>
      <c r="T24" s="12">
        <f>R24/S24-1</f>
        <v/>
      </c>
    </row>
    <row r="25">
      <c r="A25" t="inlineStr">
        <is>
          <t>Colgate</t>
        </is>
      </c>
      <c r="B25" s="13">
        <f>AVERAGE(D14:F14)</f>
        <v/>
      </c>
      <c r="C25" s="25">
        <f>('Raw Data'!C26/'Raw Data'!C22)^(1/4)-1</f>
        <v/>
      </c>
      <c r="D25" s="25">
        <f>MIN(MAX(C25,$B$5),$B$6)</f>
        <v/>
      </c>
      <c r="E25" s="25">
        <f>'WACC'!M14</f>
        <v/>
      </c>
      <c r="F25" s="13">
        <f>B25*(1+D25)^1</f>
        <v/>
      </c>
      <c r="G25" s="13">
        <f>B25*(1+D25)^2</f>
        <v/>
      </c>
      <c r="H25" s="13">
        <f>B25*(1+D25)^3</f>
        <v/>
      </c>
      <c r="I25" s="13">
        <f>B25*(1+D25)^4</f>
        <v/>
      </c>
      <c r="J25" s="13">
        <f>B25*(1+D25)^5</f>
        <v/>
      </c>
      <c r="K25" s="13">
        <f>SUMPRODUCT(F25:J25/POWER(1+E25,{1,2,3,4,5}))</f>
        <v/>
      </c>
      <c r="L25" s="13">
        <f>IF(E25-$B$4&lt;0.01,NA(),J25*(1+$B$4)/(E25-$B$4))</f>
        <v/>
      </c>
      <c r="M25" s="13">
        <f>L25/POWER(1+E25,5)</f>
        <v/>
      </c>
      <c r="N25" s="31">
        <f>K25+M25</f>
        <v/>
      </c>
      <c r="O25" s="13">
        <f>'Raw Data'!M26-'Raw Data'!O26</f>
        <v/>
      </c>
      <c r="P25" s="13">
        <f>N25-O25</f>
        <v/>
      </c>
      <c r="Q25" s="14">
        <f>'Raw Data'!AD26</f>
        <v/>
      </c>
      <c r="R25" s="31">
        <f>P25/Q25</f>
        <v/>
      </c>
      <c r="S25" s="13">
        <f>'Market Data'!C6</f>
        <v/>
      </c>
      <c r="T25" s="12">
        <f>R25/S25-1</f>
        <v/>
      </c>
    </row>
    <row r="26">
      <c r="A26" t="inlineStr">
        <is>
          <t>Nestle</t>
        </is>
      </c>
      <c r="B26" s="13">
        <f>AVERAGE(D15:F15)</f>
        <v/>
      </c>
      <c r="C26" s="25">
        <f>('Raw Data'!C31/'Raw Data'!C27)^(1/4)-1</f>
        <v/>
      </c>
      <c r="D26" s="25">
        <f>MIN(MAX(C26,$B$5),$B$6)</f>
        <v/>
      </c>
      <c r="E26" s="25">
        <f>'WACC'!M15</f>
        <v/>
      </c>
      <c r="F26" s="13">
        <f>B26*(1+D26)^1</f>
        <v/>
      </c>
      <c r="G26" s="13">
        <f>B26*(1+D26)^2</f>
        <v/>
      </c>
      <c r="H26" s="13">
        <f>B26*(1+D26)^3</f>
        <v/>
      </c>
      <c r="I26" s="13">
        <f>B26*(1+D26)^4</f>
        <v/>
      </c>
      <c r="J26" s="13">
        <f>B26*(1+D26)^5</f>
        <v/>
      </c>
      <c r="K26" s="13">
        <f>SUMPRODUCT(F26:J26/POWER(1+E26,{1,2,3,4,5}))</f>
        <v/>
      </c>
      <c r="L26" s="13">
        <f>IF(E26-$B$4&lt;0.01,NA(),J26*(1+$B$4)/(E26-$B$4))</f>
        <v/>
      </c>
      <c r="M26" s="13">
        <f>L26/POWER(1+E26,5)</f>
        <v/>
      </c>
      <c r="N26" s="31">
        <f>K26+M26</f>
        <v/>
      </c>
      <c r="O26" s="13">
        <f>'Raw Data'!M31-'Raw Data'!O31</f>
        <v/>
      </c>
      <c r="P26" s="13">
        <f>N26-O26</f>
        <v/>
      </c>
      <c r="Q26" s="14">
        <f>'Raw Data'!AD31</f>
        <v/>
      </c>
      <c r="R26" s="31">
        <f>P26/Q26</f>
        <v/>
      </c>
      <c r="S26" s="13">
        <f>'Market Data'!C7</f>
        <v/>
      </c>
      <c r="T26" s="12">
        <f>R26/S26-1</f>
        <v/>
      </c>
    </row>
    <row r="27">
      <c r="A27" t="inlineStr">
        <is>
          <t>Godrej</t>
        </is>
      </c>
      <c r="B27" s="13">
        <f>AVERAGE(D16:F16)</f>
        <v/>
      </c>
      <c r="C27" s="25">
        <f>('Raw Data'!C36/'Raw Data'!C32)^(1/4)-1</f>
        <v/>
      </c>
      <c r="D27" s="25">
        <f>MIN(MAX(C27,$B$5),$B$6)</f>
        <v/>
      </c>
      <c r="E27" s="25">
        <f>'WACC'!M16</f>
        <v/>
      </c>
      <c r="F27" s="13">
        <f>B27*(1+D27)^1</f>
        <v/>
      </c>
      <c r="G27" s="13">
        <f>B27*(1+D27)^2</f>
        <v/>
      </c>
      <c r="H27" s="13">
        <f>B27*(1+D27)^3</f>
        <v/>
      </c>
      <c r="I27" s="13">
        <f>B27*(1+D27)^4</f>
        <v/>
      </c>
      <c r="J27" s="13">
        <f>B27*(1+D27)^5</f>
        <v/>
      </c>
      <c r="K27" s="13">
        <f>SUMPRODUCT(F27:J27/POWER(1+E27,{1,2,3,4,5}))</f>
        <v/>
      </c>
      <c r="L27" s="13">
        <f>IF(E27-$B$4&lt;0.01,NA(),J27*(1+$B$4)/(E27-$B$4))</f>
        <v/>
      </c>
      <c r="M27" s="13">
        <f>L27/POWER(1+E27,5)</f>
        <v/>
      </c>
      <c r="N27" s="31">
        <f>K27+M27</f>
        <v/>
      </c>
      <c r="O27" s="13">
        <f>'Raw Data'!M36-'Raw Data'!O36</f>
        <v/>
      </c>
      <c r="P27" s="13">
        <f>N27-O27</f>
        <v/>
      </c>
      <c r="Q27" s="14">
        <f>'Raw Data'!AD36</f>
        <v/>
      </c>
      <c r="R27" s="31">
        <f>P27/Q27</f>
        <v/>
      </c>
      <c r="S27" s="13">
        <f>'Market Data'!C8</f>
        <v/>
      </c>
      <c r="T27" s="12">
        <f>R27/S27-1</f>
        <v/>
      </c>
    </row>
    <row r="28">
      <c r="A28" t="inlineStr">
        <is>
          <t>Emami</t>
        </is>
      </c>
      <c r="B28" s="13">
        <f>AVERAGE(D17:F17)</f>
        <v/>
      </c>
      <c r="C28" s="25">
        <f>('Raw Data'!C41/'Raw Data'!C37)^(1/4)-1</f>
        <v/>
      </c>
      <c r="D28" s="25">
        <f>MIN(MAX(C28,$B$5),$B$6)</f>
        <v/>
      </c>
      <c r="E28" s="25">
        <f>'WACC'!M17</f>
        <v/>
      </c>
      <c r="F28" s="13">
        <f>B28*(1+D28)^1</f>
        <v/>
      </c>
      <c r="G28" s="13">
        <f>B28*(1+D28)^2</f>
        <v/>
      </c>
      <c r="H28" s="13">
        <f>B28*(1+D28)^3</f>
        <v/>
      </c>
      <c r="I28" s="13">
        <f>B28*(1+D28)^4</f>
        <v/>
      </c>
      <c r="J28" s="13">
        <f>B28*(1+D28)^5</f>
        <v/>
      </c>
      <c r="K28" s="13">
        <f>SUMPRODUCT(F28:J28/POWER(1+E28,{1,2,3,4,5}))</f>
        <v/>
      </c>
      <c r="L28" s="13">
        <f>IF(E28-$B$4&lt;0.01,NA(),J28*(1+$B$4)/(E28-$B$4))</f>
        <v/>
      </c>
      <c r="M28" s="13">
        <f>L28/POWER(1+E28,5)</f>
        <v/>
      </c>
      <c r="N28" s="31">
        <f>K28+M28</f>
        <v/>
      </c>
      <c r="O28" s="13">
        <f>'Raw Data'!M41-'Raw Data'!O41</f>
        <v/>
      </c>
      <c r="P28" s="13">
        <f>N28-O28</f>
        <v/>
      </c>
      <c r="Q28" s="14">
        <f>'Raw Data'!AD41</f>
        <v/>
      </c>
      <c r="R28" s="31">
        <f>P28/Q28</f>
        <v/>
      </c>
      <c r="S28" s="13">
        <f>'Market Data'!C9</f>
        <v/>
      </c>
      <c r="T28" s="12">
        <f>R28/S28-1</f>
        <v/>
      </c>
    </row>
    <row r="30">
      <c r="A30" s="2" t="inlineStr">
        <is>
          <t>FCFF = CFO + Interest×(1−tax) − Capex (CFO already nets ΔWC and tax). Discounted at WACC; TV = Gordon at terminal g; EV − NetDebt = equity.</t>
        </is>
      </c>
    </row>
  </sheetData>
  <conditionalFormatting sqref="T21:T28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2" customWidth="1" min="14" max="14"/>
    <col width="10" customWidth="1" min="15" max="15"/>
    <col width="12" customWidth="1" min="16" max="16"/>
    <col width="10" customWidth="1" min="17" max="17"/>
    <col width="11" customWidth="1" min="18" max="18"/>
    <col width="10" customWidth="1" min="19" max="19"/>
    <col width="9" customWidth="1" min="20" max="20"/>
  </cols>
  <sheetData>
    <row r="1">
      <c r="A1" s="1" t="inlineStr">
        <is>
          <t>DCF - FCFE — 5-year projection, Gordon terminal value</t>
        </is>
      </c>
    </row>
    <row r="2">
      <c r="A2" s="2" t="inlineStr">
        <is>
          <t>yellow = growth assumptions · flows/rates are formulas into Raw Data / WACC — nothing hardcoded</t>
        </is>
      </c>
    </row>
    <row r="4">
      <c r="A4" t="inlineStr">
        <is>
          <t>Terminal growth g</t>
        </is>
      </c>
      <c r="B4" s="24" t="n">
        <v>0.04</v>
      </c>
    </row>
    <row r="5">
      <c r="A5" t="inlineStr">
        <is>
          <t>Forecast growth floor</t>
        </is>
      </c>
      <c r="B5" s="24" t="n">
        <v>0.03</v>
      </c>
    </row>
    <row r="6">
      <c r="A6" t="inlineStr">
        <is>
          <t>Forecast growth cap</t>
        </is>
      </c>
      <c r="B6" s="24" t="n">
        <v>0.15</v>
      </c>
    </row>
    <row r="8">
      <c r="A8" s="3" t="inlineStr">
        <is>
          <t>Historical FCFE per FY (formulas)</t>
        </is>
      </c>
    </row>
    <row r="9">
      <c r="B9" s="4" t="inlineStr">
        <is>
          <t>FY2022</t>
        </is>
      </c>
      <c r="C9" s="4" t="inlineStr">
        <is>
          <t>FY2023</t>
        </is>
      </c>
      <c r="D9" s="4" t="inlineStr">
        <is>
          <t>FY2024</t>
        </is>
      </c>
      <c r="E9" s="4" t="inlineStr">
        <is>
          <t>FY2025</t>
        </is>
      </c>
      <c r="F9" s="4" t="inlineStr">
        <is>
          <t>FY2026</t>
        </is>
      </c>
    </row>
    <row r="10">
      <c r="A10" t="inlineStr">
        <is>
          <t>HUL</t>
        </is>
      </c>
      <c r="B10" s="13">
        <f>'Raw Data'!S2-'Raw Data'!AB2+'Raw Data'!AC2</f>
        <v/>
      </c>
      <c r="C10" s="13">
        <f>'Raw Data'!S3-'Raw Data'!AB3+'Raw Data'!AC3</f>
        <v/>
      </c>
      <c r="D10" s="13">
        <f>'Raw Data'!S4-'Raw Data'!AB4+'Raw Data'!AC4</f>
        <v/>
      </c>
      <c r="E10" s="13">
        <f>'Raw Data'!S5-'Raw Data'!AB5+'Raw Data'!AC5</f>
        <v/>
      </c>
      <c r="F10" s="13">
        <f>'Raw Data'!S6-'Raw Data'!AB6+'Raw Data'!AC6</f>
        <v/>
      </c>
    </row>
    <row r="11">
      <c r="A11" t="inlineStr">
        <is>
          <t>ITC</t>
        </is>
      </c>
      <c r="B11" s="13">
        <f>'Raw Data'!S7-'Raw Data'!AB7+'Raw Data'!AC7</f>
        <v/>
      </c>
      <c r="C11" s="13">
        <f>'Raw Data'!S8-'Raw Data'!AB8+'Raw Data'!AC8</f>
        <v/>
      </c>
      <c r="D11" s="13">
        <f>'Raw Data'!S9-'Raw Data'!AB9+'Raw Data'!AC9</f>
        <v/>
      </c>
      <c r="E11" s="13">
        <f>'Raw Data'!S10-'Raw Data'!AB10+'Raw Data'!AC10</f>
        <v/>
      </c>
      <c r="F11" s="13">
        <f>'Raw Data'!S11-'Raw Data'!AB11+'Raw Data'!AC11</f>
        <v/>
      </c>
    </row>
    <row r="12">
      <c r="A12" t="inlineStr">
        <is>
          <t>Dabur</t>
        </is>
      </c>
      <c r="B12" s="13">
        <f>'Raw Data'!S12-'Raw Data'!AB12+'Raw Data'!AC12</f>
        <v/>
      </c>
      <c r="C12" s="13">
        <f>'Raw Data'!S13-'Raw Data'!AB13+'Raw Data'!AC13</f>
        <v/>
      </c>
      <c r="D12" s="13">
        <f>'Raw Data'!S14-'Raw Data'!AB14+'Raw Data'!AC14</f>
        <v/>
      </c>
      <c r="E12" s="13">
        <f>'Raw Data'!S15-'Raw Data'!AB15+'Raw Data'!AC15</f>
        <v/>
      </c>
      <c r="F12" s="13">
        <f>'Raw Data'!S16-'Raw Data'!AB16+'Raw Data'!AC16</f>
        <v/>
      </c>
    </row>
    <row r="13">
      <c r="A13" t="inlineStr">
        <is>
          <t>Marico</t>
        </is>
      </c>
      <c r="B13" s="13">
        <f>'Raw Data'!S17-'Raw Data'!AB17+'Raw Data'!AC17</f>
        <v/>
      </c>
      <c r="C13" s="13">
        <f>'Raw Data'!S18-'Raw Data'!AB18+'Raw Data'!AC18</f>
        <v/>
      </c>
      <c r="D13" s="13">
        <f>'Raw Data'!S19-'Raw Data'!AB19+'Raw Data'!AC19</f>
        <v/>
      </c>
      <c r="E13" s="13">
        <f>'Raw Data'!S20-'Raw Data'!AB20+'Raw Data'!AC20</f>
        <v/>
      </c>
      <c r="F13" s="13">
        <f>'Raw Data'!S21-'Raw Data'!AB21+'Raw Data'!AC21</f>
        <v/>
      </c>
    </row>
    <row r="14">
      <c r="A14" t="inlineStr">
        <is>
          <t>Colgate</t>
        </is>
      </c>
      <c r="B14" s="13">
        <f>'Raw Data'!S22-'Raw Data'!AB22+'Raw Data'!AC22</f>
        <v/>
      </c>
      <c r="C14" s="13">
        <f>'Raw Data'!S23-'Raw Data'!AB23+'Raw Data'!AC23</f>
        <v/>
      </c>
      <c r="D14" s="13">
        <f>'Raw Data'!S24-'Raw Data'!AB24+'Raw Data'!AC24</f>
        <v/>
      </c>
      <c r="E14" s="13">
        <f>'Raw Data'!S25-'Raw Data'!AB25+'Raw Data'!AC25</f>
        <v/>
      </c>
      <c r="F14" s="13">
        <f>'Raw Data'!S26-'Raw Data'!AB26+'Raw Data'!AC26</f>
        <v/>
      </c>
    </row>
    <row r="15">
      <c r="A15" t="inlineStr">
        <is>
          <t>Nestle</t>
        </is>
      </c>
      <c r="B15" s="13">
        <f>'Raw Data'!S27-'Raw Data'!AB27+'Raw Data'!AC27</f>
        <v/>
      </c>
      <c r="C15" s="13">
        <f>'Raw Data'!S28-'Raw Data'!AB28+'Raw Data'!AC28</f>
        <v/>
      </c>
      <c r="D15" s="13">
        <f>'Raw Data'!S29-'Raw Data'!AB29+'Raw Data'!AC29</f>
        <v/>
      </c>
      <c r="E15" s="13">
        <f>'Raw Data'!S30-'Raw Data'!AB30+'Raw Data'!AC30</f>
        <v/>
      </c>
      <c r="F15" s="13">
        <f>'Raw Data'!S31-'Raw Data'!AB31+'Raw Data'!AC31</f>
        <v/>
      </c>
    </row>
    <row r="16">
      <c r="A16" t="inlineStr">
        <is>
          <t>Godrej</t>
        </is>
      </c>
      <c r="B16" s="13">
        <f>'Raw Data'!S32-'Raw Data'!AB32+'Raw Data'!AC32</f>
        <v/>
      </c>
      <c r="C16" s="13">
        <f>'Raw Data'!S33-'Raw Data'!AB33+'Raw Data'!AC33</f>
        <v/>
      </c>
      <c r="D16" s="13">
        <f>'Raw Data'!S34-'Raw Data'!AB34+'Raw Data'!AC34</f>
        <v/>
      </c>
      <c r="E16" s="13">
        <f>'Raw Data'!S35-'Raw Data'!AB35+'Raw Data'!AC35</f>
        <v/>
      </c>
      <c r="F16" s="13">
        <f>'Raw Data'!S36-'Raw Data'!AB36+'Raw Data'!AC36</f>
        <v/>
      </c>
    </row>
    <row r="17">
      <c r="A17" t="inlineStr">
        <is>
          <t>Emami</t>
        </is>
      </c>
      <c r="B17" s="13">
        <f>'Raw Data'!S37-'Raw Data'!AB37+'Raw Data'!AC37</f>
        <v/>
      </c>
      <c r="C17" s="13">
        <f>'Raw Data'!S38-'Raw Data'!AB38+'Raw Data'!AC38</f>
        <v/>
      </c>
      <c r="D17" s="13">
        <f>'Raw Data'!S39-'Raw Data'!AB39+'Raw Data'!AC39</f>
        <v/>
      </c>
      <c r="E17" s="13">
        <f>'Raw Data'!S40-'Raw Data'!AB40+'Raw Data'!AC40</f>
        <v/>
      </c>
      <c r="F17" s="13">
        <f>'Raw Data'!S41-'Raw Data'!AB41+'Raw Data'!AC41</f>
        <v/>
      </c>
    </row>
    <row r="20">
      <c r="A20" s="9" t="inlineStr">
        <is>
          <t>Company</t>
        </is>
      </c>
      <c r="B20" s="9" t="inlineStr">
        <is>
          <t>Base FCFE</t>
        </is>
      </c>
      <c r="C20" s="9" t="inlineStr">
        <is>
          <t>Rev CAGR raw</t>
        </is>
      </c>
      <c r="D20" s="9" t="inlineStr">
        <is>
          <t>g used</t>
        </is>
      </c>
      <c r="E20" s="9" t="inlineStr">
        <is>
          <t>Rate</t>
        </is>
      </c>
      <c r="F20" s="9" t="inlineStr">
        <is>
          <t>Y1</t>
        </is>
      </c>
      <c r="G20" s="9" t="inlineStr">
        <is>
          <t>Y2</t>
        </is>
      </c>
      <c r="H20" s="9" t="inlineStr">
        <is>
          <t>Y3</t>
        </is>
      </c>
      <c r="I20" s="9" t="inlineStr">
        <is>
          <t>Y4</t>
        </is>
      </c>
      <c r="J20" s="9" t="inlineStr">
        <is>
          <t>Y5</t>
        </is>
      </c>
      <c r="K20" s="9" t="inlineStr">
        <is>
          <t>PV(Y1..Y5)</t>
        </is>
      </c>
      <c r="L20" s="9" t="inlineStr">
        <is>
          <t>TV</t>
        </is>
      </c>
      <c r="M20" s="9" t="inlineStr">
        <is>
          <t>PV(TV)</t>
        </is>
      </c>
      <c r="N20" s="9" t="inlineStr">
        <is>
          <t>PV total</t>
        </is>
      </c>
      <c r="O20" s="9" t="inlineStr">
        <is>
          <t>Net debt</t>
        </is>
      </c>
      <c r="P20" s="9" t="inlineStr">
        <is>
          <t>Equity value</t>
        </is>
      </c>
      <c r="Q20" s="9" t="inlineStr">
        <is>
          <t>Shares (Cr)</t>
        </is>
      </c>
      <c r="R20" s="9" t="inlineStr">
        <is>
          <t>Value/share</t>
        </is>
      </c>
      <c r="S20" s="9" t="inlineStr">
        <is>
          <t>Mkt price</t>
        </is>
      </c>
      <c r="T20" s="9" t="inlineStr">
        <is>
          <t>Upside</t>
        </is>
      </c>
    </row>
    <row r="21">
      <c r="A21" t="inlineStr">
        <is>
          <t>HUL</t>
        </is>
      </c>
      <c r="B21" s="13">
        <f>AVERAGE(D10:F10)</f>
        <v/>
      </c>
      <c r="C21" s="25">
        <f>('Raw Data'!C6/'Raw Data'!C2)^(1/4)-1</f>
        <v/>
      </c>
      <c r="D21" s="25">
        <f>MIN(MAX(C21,$B$5),$B$6)</f>
        <v/>
      </c>
      <c r="E21" s="25">
        <f>'WACC'!C10</f>
        <v/>
      </c>
      <c r="F21" s="13">
        <f>B21*(1+D21)^1</f>
        <v/>
      </c>
      <c r="G21" s="13">
        <f>B21*(1+D21)^2</f>
        <v/>
      </c>
      <c r="H21" s="13">
        <f>B21*(1+D21)^3</f>
        <v/>
      </c>
      <c r="I21" s="13">
        <f>B21*(1+D21)^4</f>
        <v/>
      </c>
      <c r="J21" s="13">
        <f>B21*(1+D21)^5</f>
        <v/>
      </c>
      <c r="K21" s="13">
        <f>SUMPRODUCT(F21:J21/POWER(1+E21,{1,2,3,4,5}))</f>
        <v/>
      </c>
      <c r="L21" s="13">
        <f>IF(E21-$B$4&lt;0.01,NA(),J21*(1+$B$4)/(E21-$B$4))</f>
        <v/>
      </c>
      <c r="M21" s="13">
        <f>L21/POWER(1+E21,5)</f>
        <v/>
      </c>
      <c r="N21" s="31">
        <f>K21+M21</f>
        <v/>
      </c>
      <c r="O21" s="2" t="inlineStr">
        <is>
          <t>n/a (equity-direct)</t>
        </is>
      </c>
      <c r="P21" s="13">
        <f>N21</f>
        <v/>
      </c>
      <c r="Q21" s="14">
        <f>'Raw Data'!AD6</f>
        <v/>
      </c>
      <c r="R21" s="31">
        <f>P21/Q21</f>
        <v/>
      </c>
      <c r="S21" s="13">
        <f>'Market Data'!C2</f>
        <v/>
      </c>
      <c r="T21" s="12">
        <f>R21/S21-1</f>
        <v/>
      </c>
    </row>
    <row r="22">
      <c r="A22" t="inlineStr">
        <is>
          <t>ITC</t>
        </is>
      </c>
      <c r="B22" s="13">
        <f>AVERAGE(D11:F11)</f>
        <v/>
      </c>
      <c r="C22" s="25">
        <f>('Raw Data'!C11/'Raw Data'!C7)^(1/4)-1</f>
        <v/>
      </c>
      <c r="D22" s="25">
        <f>MIN(MAX(C22,$B$5),$B$6)</f>
        <v/>
      </c>
      <c r="E22" s="25">
        <f>'WACC'!C11</f>
        <v/>
      </c>
      <c r="F22" s="13">
        <f>B22*(1+D22)^1</f>
        <v/>
      </c>
      <c r="G22" s="13">
        <f>B22*(1+D22)^2</f>
        <v/>
      </c>
      <c r="H22" s="13">
        <f>B22*(1+D22)^3</f>
        <v/>
      </c>
      <c r="I22" s="13">
        <f>B22*(1+D22)^4</f>
        <v/>
      </c>
      <c r="J22" s="13">
        <f>B22*(1+D22)^5</f>
        <v/>
      </c>
      <c r="K22" s="13">
        <f>SUMPRODUCT(F22:J22/POWER(1+E22,{1,2,3,4,5}))</f>
        <v/>
      </c>
      <c r="L22" s="13">
        <f>IF(E22-$B$4&lt;0.01,NA(),J22*(1+$B$4)/(E22-$B$4))</f>
        <v/>
      </c>
      <c r="M22" s="13">
        <f>L22/POWER(1+E22,5)</f>
        <v/>
      </c>
      <c r="N22" s="31">
        <f>K22+M22</f>
        <v/>
      </c>
      <c r="O22" s="2" t="inlineStr">
        <is>
          <t>n/a (equity-direct)</t>
        </is>
      </c>
      <c r="P22" s="13">
        <f>N22</f>
        <v/>
      </c>
      <c r="Q22" s="14">
        <f>'Raw Data'!AD11</f>
        <v/>
      </c>
      <c r="R22" s="31">
        <f>P22/Q22</f>
        <v/>
      </c>
      <c r="S22" s="13">
        <f>'Market Data'!C3</f>
        <v/>
      </c>
      <c r="T22" s="12">
        <f>R22/S22-1</f>
        <v/>
      </c>
    </row>
    <row r="23">
      <c r="A23" t="inlineStr">
        <is>
          <t>Dabur</t>
        </is>
      </c>
      <c r="B23" s="13">
        <f>AVERAGE(D12:F12)</f>
        <v/>
      </c>
      <c r="C23" s="25">
        <f>('Raw Data'!C16/'Raw Data'!C12)^(1/4)-1</f>
        <v/>
      </c>
      <c r="D23" s="25">
        <f>MIN(MAX(C23,$B$5),$B$6)</f>
        <v/>
      </c>
      <c r="E23" s="25">
        <f>'WACC'!C12</f>
        <v/>
      </c>
      <c r="F23" s="13">
        <f>B23*(1+D23)^1</f>
        <v/>
      </c>
      <c r="G23" s="13">
        <f>B23*(1+D23)^2</f>
        <v/>
      </c>
      <c r="H23" s="13">
        <f>B23*(1+D23)^3</f>
        <v/>
      </c>
      <c r="I23" s="13">
        <f>B23*(1+D23)^4</f>
        <v/>
      </c>
      <c r="J23" s="13">
        <f>B23*(1+D23)^5</f>
        <v/>
      </c>
      <c r="K23" s="13">
        <f>SUMPRODUCT(F23:J23/POWER(1+E23,{1,2,3,4,5}))</f>
        <v/>
      </c>
      <c r="L23" s="13">
        <f>IF(E23-$B$4&lt;0.01,NA(),J23*(1+$B$4)/(E23-$B$4))</f>
        <v/>
      </c>
      <c r="M23" s="13">
        <f>L23/POWER(1+E23,5)</f>
        <v/>
      </c>
      <c r="N23" s="31">
        <f>K23+M23</f>
        <v/>
      </c>
      <c r="O23" s="2" t="inlineStr">
        <is>
          <t>n/a (equity-direct)</t>
        </is>
      </c>
      <c r="P23" s="13">
        <f>N23</f>
        <v/>
      </c>
      <c r="Q23" s="14">
        <f>'Raw Data'!AD16</f>
        <v/>
      </c>
      <c r="R23" s="31">
        <f>P23/Q23</f>
        <v/>
      </c>
      <c r="S23" s="13">
        <f>'Market Data'!C4</f>
        <v/>
      </c>
      <c r="T23" s="12">
        <f>R23/S23-1</f>
        <v/>
      </c>
    </row>
    <row r="24">
      <c r="A24" t="inlineStr">
        <is>
          <t>Marico</t>
        </is>
      </c>
      <c r="B24" s="13">
        <f>AVERAGE(D13:F13)</f>
        <v/>
      </c>
      <c r="C24" s="25">
        <f>('Raw Data'!C21/'Raw Data'!C17)^(1/4)-1</f>
        <v/>
      </c>
      <c r="D24" s="25">
        <f>MIN(MAX(C24,$B$5),$B$6)</f>
        <v/>
      </c>
      <c r="E24" s="25">
        <f>'WACC'!C13</f>
        <v/>
      </c>
      <c r="F24" s="13">
        <f>B24*(1+D24)^1</f>
        <v/>
      </c>
      <c r="G24" s="13">
        <f>B24*(1+D24)^2</f>
        <v/>
      </c>
      <c r="H24" s="13">
        <f>B24*(1+D24)^3</f>
        <v/>
      </c>
      <c r="I24" s="13">
        <f>B24*(1+D24)^4</f>
        <v/>
      </c>
      <c r="J24" s="13">
        <f>B24*(1+D24)^5</f>
        <v/>
      </c>
      <c r="K24" s="13">
        <f>SUMPRODUCT(F24:J24/POWER(1+E24,{1,2,3,4,5}))</f>
        <v/>
      </c>
      <c r="L24" s="13">
        <f>IF(E24-$B$4&lt;0.01,NA(),J24*(1+$B$4)/(E24-$B$4))</f>
        <v/>
      </c>
      <c r="M24" s="13">
        <f>L24/POWER(1+E24,5)</f>
        <v/>
      </c>
      <c r="N24" s="31">
        <f>K24+M24</f>
        <v/>
      </c>
      <c r="O24" s="2" t="inlineStr">
        <is>
          <t>n/a (equity-direct)</t>
        </is>
      </c>
      <c r="P24" s="13">
        <f>N24</f>
        <v/>
      </c>
      <c r="Q24" s="14">
        <f>'Raw Data'!AD21</f>
        <v/>
      </c>
      <c r="R24" s="31">
        <f>P24/Q24</f>
        <v/>
      </c>
      <c r="S24" s="13">
        <f>'Market Data'!C5</f>
        <v/>
      </c>
      <c r="T24" s="12">
        <f>R24/S24-1</f>
        <v/>
      </c>
    </row>
    <row r="25">
      <c r="A25" t="inlineStr">
        <is>
          <t>Colgate</t>
        </is>
      </c>
      <c r="B25" s="13">
        <f>AVERAGE(D14:F14)</f>
        <v/>
      </c>
      <c r="C25" s="25">
        <f>('Raw Data'!C26/'Raw Data'!C22)^(1/4)-1</f>
        <v/>
      </c>
      <c r="D25" s="25">
        <f>MIN(MAX(C25,$B$5),$B$6)</f>
        <v/>
      </c>
      <c r="E25" s="25">
        <f>'WACC'!C14</f>
        <v/>
      </c>
      <c r="F25" s="13">
        <f>B25*(1+D25)^1</f>
        <v/>
      </c>
      <c r="G25" s="13">
        <f>B25*(1+D25)^2</f>
        <v/>
      </c>
      <c r="H25" s="13">
        <f>B25*(1+D25)^3</f>
        <v/>
      </c>
      <c r="I25" s="13">
        <f>B25*(1+D25)^4</f>
        <v/>
      </c>
      <c r="J25" s="13">
        <f>B25*(1+D25)^5</f>
        <v/>
      </c>
      <c r="K25" s="13">
        <f>SUMPRODUCT(F25:J25/POWER(1+E25,{1,2,3,4,5}))</f>
        <v/>
      </c>
      <c r="L25" s="13">
        <f>IF(E25-$B$4&lt;0.01,NA(),J25*(1+$B$4)/(E25-$B$4))</f>
        <v/>
      </c>
      <c r="M25" s="13">
        <f>L25/POWER(1+E25,5)</f>
        <v/>
      </c>
      <c r="N25" s="31">
        <f>K25+M25</f>
        <v/>
      </c>
      <c r="O25" s="2" t="inlineStr">
        <is>
          <t>n/a (equity-direct)</t>
        </is>
      </c>
      <c r="P25" s="13">
        <f>N25</f>
        <v/>
      </c>
      <c r="Q25" s="14">
        <f>'Raw Data'!AD26</f>
        <v/>
      </c>
      <c r="R25" s="31">
        <f>P25/Q25</f>
        <v/>
      </c>
      <c r="S25" s="13">
        <f>'Market Data'!C6</f>
        <v/>
      </c>
      <c r="T25" s="12">
        <f>R25/S25-1</f>
        <v/>
      </c>
    </row>
    <row r="26">
      <c r="A26" t="inlineStr">
        <is>
          <t>Nestle</t>
        </is>
      </c>
      <c r="B26" s="13">
        <f>AVERAGE(D15:F15)</f>
        <v/>
      </c>
      <c r="C26" s="25">
        <f>('Raw Data'!C31/'Raw Data'!C27)^(1/4)-1</f>
        <v/>
      </c>
      <c r="D26" s="25">
        <f>MIN(MAX(C26,$B$5),$B$6)</f>
        <v/>
      </c>
      <c r="E26" s="25">
        <f>'WACC'!C15</f>
        <v/>
      </c>
      <c r="F26" s="13">
        <f>B26*(1+D26)^1</f>
        <v/>
      </c>
      <c r="G26" s="13">
        <f>B26*(1+D26)^2</f>
        <v/>
      </c>
      <c r="H26" s="13">
        <f>B26*(1+D26)^3</f>
        <v/>
      </c>
      <c r="I26" s="13">
        <f>B26*(1+D26)^4</f>
        <v/>
      </c>
      <c r="J26" s="13">
        <f>B26*(1+D26)^5</f>
        <v/>
      </c>
      <c r="K26" s="13">
        <f>SUMPRODUCT(F26:J26/POWER(1+E26,{1,2,3,4,5}))</f>
        <v/>
      </c>
      <c r="L26" s="13">
        <f>IF(E26-$B$4&lt;0.01,NA(),J26*(1+$B$4)/(E26-$B$4))</f>
        <v/>
      </c>
      <c r="M26" s="13">
        <f>L26/POWER(1+E26,5)</f>
        <v/>
      </c>
      <c r="N26" s="31">
        <f>K26+M26</f>
        <v/>
      </c>
      <c r="O26" s="2" t="inlineStr">
        <is>
          <t>n/a (equity-direct)</t>
        </is>
      </c>
      <c r="P26" s="13">
        <f>N26</f>
        <v/>
      </c>
      <c r="Q26" s="14">
        <f>'Raw Data'!AD31</f>
        <v/>
      </c>
      <c r="R26" s="31">
        <f>P26/Q26</f>
        <v/>
      </c>
      <c r="S26" s="13">
        <f>'Market Data'!C7</f>
        <v/>
      </c>
      <c r="T26" s="12">
        <f>R26/S26-1</f>
        <v/>
      </c>
    </row>
    <row r="27">
      <c r="A27" t="inlineStr">
        <is>
          <t>Godrej</t>
        </is>
      </c>
      <c r="B27" s="13">
        <f>AVERAGE(D16:F16)</f>
        <v/>
      </c>
      <c r="C27" s="25">
        <f>('Raw Data'!C36/'Raw Data'!C32)^(1/4)-1</f>
        <v/>
      </c>
      <c r="D27" s="25">
        <f>MIN(MAX(C27,$B$5),$B$6)</f>
        <v/>
      </c>
      <c r="E27" s="25">
        <f>'WACC'!C16</f>
        <v/>
      </c>
      <c r="F27" s="13">
        <f>B27*(1+D27)^1</f>
        <v/>
      </c>
      <c r="G27" s="13">
        <f>B27*(1+D27)^2</f>
        <v/>
      </c>
      <c r="H27" s="13">
        <f>B27*(1+D27)^3</f>
        <v/>
      </c>
      <c r="I27" s="13">
        <f>B27*(1+D27)^4</f>
        <v/>
      </c>
      <c r="J27" s="13">
        <f>B27*(1+D27)^5</f>
        <v/>
      </c>
      <c r="K27" s="13">
        <f>SUMPRODUCT(F27:J27/POWER(1+E27,{1,2,3,4,5}))</f>
        <v/>
      </c>
      <c r="L27" s="13">
        <f>IF(E27-$B$4&lt;0.01,NA(),J27*(1+$B$4)/(E27-$B$4))</f>
        <v/>
      </c>
      <c r="M27" s="13">
        <f>L27/POWER(1+E27,5)</f>
        <v/>
      </c>
      <c r="N27" s="31">
        <f>K27+M27</f>
        <v/>
      </c>
      <c r="O27" s="2" t="inlineStr">
        <is>
          <t>n/a (equity-direct)</t>
        </is>
      </c>
      <c r="P27" s="13">
        <f>N27</f>
        <v/>
      </c>
      <c r="Q27" s="14">
        <f>'Raw Data'!AD36</f>
        <v/>
      </c>
      <c r="R27" s="31">
        <f>P27/Q27</f>
        <v/>
      </c>
      <c r="S27" s="13">
        <f>'Market Data'!C8</f>
        <v/>
      </c>
      <c r="T27" s="12">
        <f>R27/S27-1</f>
        <v/>
      </c>
    </row>
    <row r="28">
      <c r="A28" t="inlineStr">
        <is>
          <t>Emami</t>
        </is>
      </c>
      <c r="B28" s="13">
        <f>AVERAGE(D17:F17)</f>
        <v/>
      </c>
      <c r="C28" s="25">
        <f>('Raw Data'!C41/'Raw Data'!C37)^(1/4)-1</f>
        <v/>
      </c>
      <c r="D28" s="25">
        <f>MIN(MAX(C28,$B$5),$B$6)</f>
        <v/>
      </c>
      <c r="E28" s="25">
        <f>'WACC'!C17</f>
        <v/>
      </c>
      <c r="F28" s="13">
        <f>B28*(1+D28)^1</f>
        <v/>
      </c>
      <c r="G28" s="13">
        <f>B28*(1+D28)^2</f>
        <v/>
      </c>
      <c r="H28" s="13">
        <f>B28*(1+D28)^3</f>
        <v/>
      </c>
      <c r="I28" s="13">
        <f>B28*(1+D28)^4</f>
        <v/>
      </c>
      <c r="J28" s="13">
        <f>B28*(1+D28)^5</f>
        <v/>
      </c>
      <c r="K28" s="13">
        <f>SUMPRODUCT(F28:J28/POWER(1+E28,{1,2,3,4,5}))</f>
        <v/>
      </c>
      <c r="L28" s="13">
        <f>IF(E28-$B$4&lt;0.01,NA(),J28*(1+$B$4)/(E28-$B$4))</f>
        <v/>
      </c>
      <c r="M28" s="13">
        <f>L28/POWER(1+E28,5)</f>
        <v/>
      </c>
      <c r="N28" s="31">
        <f>K28+M28</f>
        <v/>
      </c>
      <c r="O28" s="2" t="inlineStr">
        <is>
          <t>n/a (equity-direct)</t>
        </is>
      </c>
      <c r="P28" s="13">
        <f>N28</f>
        <v/>
      </c>
      <c r="Q28" s="14">
        <f>'Raw Data'!AD41</f>
        <v/>
      </c>
      <c r="R28" s="31">
        <f>P28/Q28</f>
        <v/>
      </c>
      <c r="S28" s="13">
        <f>'Market Data'!C9</f>
        <v/>
      </c>
      <c r="T28" s="12">
        <f>R28/S28-1</f>
        <v/>
      </c>
    </row>
    <row r="31">
      <c r="A31" s="3" t="inlineStr">
        <is>
          <t>FCFE vs FCFF equity value — the leverage wedge</t>
        </is>
      </c>
    </row>
    <row r="32">
      <c r="A32" s="4" t="inlineStr">
        <is>
          <t>Company</t>
        </is>
      </c>
      <c r="B32" s="4" t="inlineStr">
        <is>
          <t>Equity (FCFF)</t>
        </is>
      </c>
      <c r="C32" s="4" t="inlineStr">
        <is>
          <t>Equity (FCFE)</t>
        </is>
      </c>
      <c r="D32" s="4" t="inlineStr">
        <is>
          <t>Gap %</t>
        </is>
      </c>
    </row>
    <row r="33">
      <c r="A33" t="inlineStr">
        <is>
          <t>HUL</t>
        </is>
      </c>
      <c r="B33" s="13">
        <f>'DCF - FCFF'!P21</f>
        <v/>
      </c>
      <c r="C33" s="13">
        <f>P21</f>
        <v/>
      </c>
      <c r="D33" s="12">
        <f>C33/B33-1</f>
        <v/>
      </c>
    </row>
    <row r="34">
      <c r="A34" t="inlineStr">
        <is>
          <t>ITC</t>
        </is>
      </c>
      <c r="B34" s="13">
        <f>'DCF - FCFF'!P22</f>
        <v/>
      </c>
      <c r="C34" s="13">
        <f>P22</f>
        <v/>
      </c>
      <c r="D34" s="12">
        <f>C34/B34-1</f>
        <v/>
      </c>
    </row>
    <row r="35">
      <c r="A35" t="inlineStr">
        <is>
          <t>Dabur</t>
        </is>
      </c>
      <c r="B35" s="13">
        <f>'DCF - FCFF'!P23</f>
        <v/>
      </c>
      <c r="C35" s="13">
        <f>P23</f>
        <v/>
      </c>
      <c r="D35" s="12">
        <f>C35/B35-1</f>
        <v/>
      </c>
    </row>
    <row r="36">
      <c r="A36" t="inlineStr">
        <is>
          <t>Marico</t>
        </is>
      </c>
      <c r="B36" s="13">
        <f>'DCF - FCFF'!P24</f>
        <v/>
      </c>
      <c r="C36" s="13">
        <f>P24</f>
        <v/>
      </c>
      <c r="D36" s="12">
        <f>C36/B36-1</f>
        <v/>
      </c>
    </row>
    <row r="37">
      <c r="A37" t="inlineStr">
        <is>
          <t>Colgate</t>
        </is>
      </c>
      <c r="B37" s="13">
        <f>'DCF - FCFF'!P25</f>
        <v/>
      </c>
      <c r="C37" s="13">
        <f>P25</f>
        <v/>
      </c>
      <c r="D37" s="12">
        <f>C37/B37-1</f>
        <v/>
      </c>
    </row>
    <row r="38">
      <c r="A38" t="inlineStr">
        <is>
          <t>Nestle</t>
        </is>
      </c>
      <c r="B38" s="13">
        <f>'DCF - FCFF'!P26</f>
        <v/>
      </c>
      <c r="C38" s="13">
        <f>P26</f>
        <v/>
      </c>
      <c r="D38" s="12">
        <f>C38/B38-1</f>
        <v/>
      </c>
    </row>
    <row r="39">
      <c r="A39" t="inlineStr">
        <is>
          <t>Godrej</t>
        </is>
      </c>
      <c r="B39" s="13">
        <f>'DCF - FCFF'!P27</f>
        <v/>
      </c>
      <c r="C39" s="13">
        <f>P27</f>
        <v/>
      </c>
      <c r="D39" s="12">
        <f>C39/B39-1</f>
        <v/>
      </c>
    </row>
    <row r="40">
      <c r="A40" t="inlineStr">
        <is>
          <t>Emami</t>
        </is>
      </c>
      <c r="B40" s="13">
        <f>'DCF - FCFF'!P28</f>
        <v/>
      </c>
      <c r="C40" s="13">
        <f>P28</f>
        <v/>
      </c>
      <c r="D40" s="12">
        <f>C40/B40-1</f>
        <v/>
      </c>
    </row>
    <row r="42">
      <c r="A42" s="2" t="inlineStr">
        <is>
          <t>FCFE = CFO − Capex + NetBorrowing, discounted at Ke — equity value directly. At near-zero debt the two methods converge; the gap widens exactly where borrowing is material (the Phase-2 leverage story).</t>
        </is>
      </c>
    </row>
  </sheetData>
  <conditionalFormatting sqref="T21:T28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3" customWidth="1" min="5" max="5"/>
    <col width="11" customWidth="1" min="6" max="6"/>
    <col width="11" customWidth="1" min="7" max="7"/>
    <col width="10" customWidth="1" min="8" max="8"/>
    <col width="13" customWidth="1" min="9" max="9"/>
    <col width="13" customWidth="1" min="10" max="10"/>
    <col width="10" customWidth="1" min="11" max="11"/>
  </cols>
  <sheetData>
    <row r="1">
      <c r="A1" s="1" t="inlineStr">
        <is>
          <t>Comparable company analysis — EV/EBITDA vs sector median</t>
        </is>
      </c>
    </row>
    <row r="2">
      <c r="A2" s="2" t="inlineStr">
        <is>
          <t>EV = MarketCap + TotalDebt − Cash (latest FY) · all live formulas</t>
        </is>
      </c>
    </row>
    <row r="3"/>
    <row r="4">
      <c r="A4" s="9" t="inlineStr">
        <is>
          <t>Company</t>
        </is>
      </c>
      <c r="B4" s="9" t="inlineStr">
        <is>
          <t>MarketCap</t>
        </is>
      </c>
      <c r="C4" s="9" t="inlineStr">
        <is>
          <t>TotalDebt</t>
        </is>
      </c>
      <c r="D4" s="9" t="inlineStr">
        <is>
          <t>Cash</t>
        </is>
      </c>
      <c r="E4" s="9" t="inlineStr">
        <is>
          <t>EV</t>
        </is>
      </c>
      <c r="F4" s="9" t="inlineStr">
        <is>
          <t>EBITDA</t>
        </is>
      </c>
      <c r="G4" s="9" t="inlineStr">
        <is>
          <t>EV/EBITDA</t>
        </is>
      </c>
      <c r="H4" s="9" t="inlineStr">
        <is>
          <t>Stock P/E</t>
        </is>
      </c>
      <c r="I4" s="9" t="inlineStr">
        <is>
          <t>Sector median</t>
        </is>
      </c>
      <c r="J4" s="9" t="inlineStr">
        <is>
          <t>Implied EV</t>
        </is>
      </c>
      <c r="K4" s="9" t="inlineStr">
        <is>
          <t>Premium</t>
        </is>
      </c>
    </row>
    <row r="5">
      <c r="A5" t="inlineStr">
        <is>
          <t>HUL</t>
        </is>
      </c>
      <c r="B5" s="13">
        <f>'Market Data'!B2</f>
        <v/>
      </c>
      <c r="C5" s="13">
        <f>'Raw Data'!M6</f>
        <v/>
      </c>
      <c r="D5" s="13">
        <f>'Raw Data'!O6</f>
        <v/>
      </c>
      <c r="E5" s="13">
        <f>B5+C5-D5</f>
        <v/>
      </c>
      <c r="F5" s="13">
        <f>'Raw Data'!X6</f>
        <v/>
      </c>
      <c r="G5" s="32">
        <f>E5/F5</f>
        <v/>
      </c>
      <c r="H5" s="33">
        <f>'Market Data'!E2</f>
        <v/>
      </c>
      <c r="I5" s="33">
        <f>MEDIAN($G$5:$G$12)</f>
        <v/>
      </c>
      <c r="J5" s="13">
        <f>F5*I5</f>
        <v/>
      </c>
      <c r="K5" s="12">
        <f>E5/J5-1</f>
        <v/>
      </c>
    </row>
    <row r="6">
      <c r="A6" t="inlineStr">
        <is>
          <t>ITC</t>
        </is>
      </c>
      <c r="B6" s="13">
        <f>'Market Data'!B3</f>
        <v/>
      </c>
      <c r="C6" s="13">
        <f>'Raw Data'!M11</f>
        <v/>
      </c>
      <c r="D6" s="13">
        <f>'Raw Data'!O11</f>
        <v/>
      </c>
      <c r="E6" s="13">
        <f>B6+C6-D6</f>
        <v/>
      </c>
      <c r="F6" s="13">
        <f>'Raw Data'!X11</f>
        <v/>
      </c>
      <c r="G6" s="32">
        <f>E6/F6</f>
        <v/>
      </c>
      <c r="H6" s="33">
        <f>'Market Data'!E3</f>
        <v/>
      </c>
      <c r="I6" s="33">
        <f>MEDIAN($G$5:$G$12)</f>
        <v/>
      </c>
      <c r="J6" s="13">
        <f>F6*I6</f>
        <v/>
      </c>
      <c r="K6" s="12">
        <f>E6/J6-1</f>
        <v/>
      </c>
    </row>
    <row r="7">
      <c r="A7" t="inlineStr">
        <is>
          <t>Dabur</t>
        </is>
      </c>
      <c r="B7" s="13">
        <f>'Market Data'!B4</f>
        <v/>
      </c>
      <c r="C7" s="13">
        <f>'Raw Data'!M16</f>
        <v/>
      </c>
      <c r="D7" s="13">
        <f>'Raw Data'!O16</f>
        <v/>
      </c>
      <c r="E7" s="13">
        <f>B7+C7-D7</f>
        <v/>
      </c>
      <c r="F7" s="13">
        <f>'Raw Data'!X16</f>
        <v/>
      </c>
      <c r="G7" s="32">
        <f>E7/F7</f>
        <v/>
      </c>
      <c r="H7" s="33">
        <f>'Market Data'!E4</f>
        <v/>
      </c>
      <c r="I7" s="33">
        <f>MEDIAN($G$5:$G$12)</f>
        <v/>
      </c>
      <c r="J7" s="13">
        <f>F7*I7</f>
        <v/>
      </c>
      <c r="K7" s="12">
        <f>E7/J7-1</f>
        <v/>
      </c>
    </row>
    <row r="8">
      <c r="A8" t="inlineStr">
        <is>
          <t>Marico</t>
        </is>
      </c>
      <c r="B8" s="13">
        <f>'Market Data'!B5</f>
        <v/>
      </c>
      <c r="C8" s="13">
        <f>'Raw Data'!M21</f>
        <v/>
      </c>
      <c r="D8" s="13">
        <f>'Raw Data'!O21</f>
        <v/>
      </c>
      <c r="E8" s="13">
        <f>B8+C8-D8</f>
        <v/>
      </c>
      <c r="F8" s="13">
        <f>'Raw Data'!X21</f>
        <v/>
      </c>
      <c r="G8" s="32">
        <f>E8/F8</f>
        <v/>
      </c>
      <c r="H8" s="33">
        <f>'Market Data'!E5</f>
        <v/>
      </c>
      <c r="I8" s="33">
        <f>MEDIAN($G$5:$G$12)</f>
        <v/>
      </c>
      <c r="J8" s="13">
        <f>F8*I8</f>
        <v/>
      </c>
      <c r="K8" s="12">
        <f>E8/J8-1</f>
        <v/>
      </c>
    </row>
    <row r="9">
      <c r="A9" t="inlineStr">
        <is>
          <t>Colgate</t>
        </is>
      </c>
      <c r="B9" s="13">
        <f>'Market Data'!B6</f>
        <v/>
      </c>
      <c r="C9" s="13">
        <f>'Raw Data'!M26</f>
        <v/>
      </c>
      <c r="D9" s="13">
        <f>'Raw Data'!O26</f>
        <v/>
      </c>
      <c r="E9" s="13">
        <f>B9+C9-D9</f>
        <v/>
      </c>
      <c r="F9" s="13">
        <f>'Raw Data'!X26</f>
        <v/>
      </c>
      <c r="G9" s="32">
        <f>E9/F9</f>
        <v/>
      </c>
      <c r="H9" s="33">
        <f>'Market Data'!E6</f>
        <v/>
      </c>
      <c r="I9" s="33">
        <f>MEDIAN($G$5:$G$12)</f>
        <v/>
      </c>
      <c r="J9" s="13">
        <f>F9*I9</f>
        <v/>
      </c>
      <c r="K9" s="12">
        <f>E9/J9-1</f>
        <v/>
      </c>
    </row>
    <row r="10">
      <c r="A10" t="inlineStr">
        <is>
          <t>Nestle</t>
        </is>
      </c>
      <c r="B10" s="13">
        <f>'Market Data'!B7</f>
        <v/>
      </c>
      <c r="C10" s="13">
        <f>'Raw Data'!M31</f>
        <v/>
      </c>
      <c r="D10" s="13">
        <f>'Raw Data'!O31</f>
        <v/>
      </c>
      <c r="E10" s="13">
        <f>B10+C10-D10</f>
        <v/>
      </c>
      <c r="F10" s="13">
        <f>'Raw Data'!X31</f>
        <v/>
      </c>
      <c r="G10" s="32">
        <f>E10/F10</f>
        <v/>
      </c>
      <c r="H10" s="33">
        <f>'Market Data'!E7</f>
        <v/>
      </c>
      <c r="I10" s="33">
        <f>MEDIAN($G$5:$G$12)</f>
        <v/>
      </c>
      <c r="J10" s="13">
        <f>F10*I10</f>
        <v/>
      </c>
      <c r="K10" s="12">
        <f>E10/J10-1</f>
        <v/>
      </c>
    </row>
    <row r="11">
      <c r="A11" t="inlineStr">
        <is>
          <t>Godrej</t>
        </is>
      </c>
      <c r="B11" s="13">
        <f>'Market Data'!B8</f>
        <v/>
      </c>
      <c r="C11" s="13">
        <f>'Raw Data'!M36</f>
        <v/>
      </c>
      <c r="D11" s="13">
        <f>'Raw Data'!O36</f>
        <v/>
      </c>
      <c r="E11" s="13">
        <f>B11+C11-D11</f>
        <v/>
      </c>
      <c r="F11" s="13">
        <f>'Raw Data'!X36</f>
        <v/>
      </c>
      <c r="G11" s="32">
        <f>E11/F11</f>
        <v/>
      </c>
      <c r="H11" s="33">
        <f>'Market Data'!E8</f>
        <v/>
      </c>
      <c r="I11" s="33">
        <f>MEDIAN($G$5:$G$12)</f>
        <v/>
      </c>
      <c r="J11" s="13">
        <f>F11*I11</f>
        <v/>
      </c>
      <c r="K11" s="12">
        <f>E11/J11-1</f>
        <v/>
      </c>
    </row>
    <row r="12">
      <c r="A12" t="inlineStr">
        <is>
          <t>Emami</t>
        </is>
      </c>
      <c r="B12" s="13">
        <f>'Market Data'!B9</f>
        <v/>
      </c>
      <c r="C12" s="13">
        <f>'Raw Data'!M41</f>
        <v/>
      </c>
      <c r="D12" s="13">
        <f>'Raw Data'!O41</f>
        <v/>
      </c>
      <c r="E12" s="13">
        <f>B12+C12-D12</f>
        <v/>
      </c>
      <c r="F12" s="13">
        <f>'Raw Data'!X41</f>
        <v/>
      </c>
      <c r="G12" s="32">
        <f>E12/F12</f>
        <v/>
      </c>
      <c r="H12" s="33">
        <f>'Market Data'!E9</f>
        <v/>
      </c>
      <c r="I12" s="33">
        <f>MEDIAN($G$5:$G$12)</f>
        <v/>
      </c>
      <c r="J12" s="13">
        <f>F12*I12</f>
        <v/>
      </c>
      <c r="K12" s="12">
        <f>E12/J12-1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2" t="inlineStr">
        <is>
          <t>Green premium column = trading BELOW the implied sector-median EV (relative value); red = above. P/E from the July-2026 snapshot as a secondary multiple. Historical multiples would need historical market caps — out of scope for the snapshot dataset.</t>
        </is>
      </c>
    </row>
  </sheetData>
  <conditionalFormatting sqref="K5:K1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DCF sensitivity — value per share across WACC × terminal growth</t>
        </is>
      </c>
    </row>
    <row r="2">
      <c r="A2" s="2" t="inlineStr">
        <is>
          <t>each cell re-runs the full FCFF DCF via formula · green = above market price (undervalued at that combo) · border = base case</t>
        </is>
      </c>
    </row>
    <row r="4">
      <c r="A4" s="3" t="inlineStr">
        <is>
          <t>HUL</t>
        </is>
      </c>
      <c r="B4" s="13">
        <f>'Market Data'!$C$2</f>
        <v/>
      </c>
      <c r="C4" s="2" t="inlineStr">
        <is>
          <t>← market price · rows: WACC · cols: terminal g</t>
        </is>
      </c>
    </row>
    <row r="5">
      <c r="B5" s="24" t="n">
        <v>0.01</v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  <c r="H5" s="24" t="n">
        <v>0.04</v>
      </c>
      <c r="I5" s="24" t="n">
        <v>0.045</v>
      </c>
      <c r="J5" s="24" t="n">
        <v>0.05</v>
      </c>
    </row>
    <row r="6">
      <c r="A6" s="25">
        <f>'DCF - FCFF'!$E$21-0.02</f>
        <v/>
      </c>
      <c r="B6" s="13">
        <f>IF($A6-B$5&lt;0.01,NA(),('DCF - FCFF'!$B$21*SUMPRODUCT(POWER(1+'DCF - FCFF'!$D$21,{1,2,3,4,5})/POWER(1+$A6,{1,2,3,4,5}))+'DCF - FCFF'!$B$21*POWER(1+'DCF - FCFF'!$D$21,5)*(1+B$5)/($A6-B$5)/POWER(1+$A6,5)-'DCF - FCFF'!$O$21)/'DCF - FCFF'!$Q$21)</f>
        <v/>
      </c>
      <c r="C6" s="13">
        <f>IF($A6-C$5&lt;0.01,NA(),('DCF - FCFF'!$B$21*SUMPRODUCT(POWER(1+'DCF - FCFF'!$D$21,{1,2,3,4,5})/POWER(1+$A6,{1,2,3,4,5}))+'DCF - FCFF'!$B$21*POWER(1+'DCF - FCFF'!$D$21,5)*(1+C$5)/($A6-C$5)/POWER(1+$A6,5)-'DCF - FCFF'!$O$21)/'DCF - FCFF'!$Q$21)</f>
        <v/>
      </c>
      <c r="D6" s="13">
        <f>IF($A6-D$5&lt;0.01,NA(),('DCF - FCFF'!$B$21*SUMPRODUCT(POWER(1+'DCF - FCFF'!$D$21,{1,2,3,4,5})/POWER(1+$A6,{1,2,3,4,5}))+'DCF - FCFF'!$B$21*POWER(1+'DCF - FCFF'!$D$21,5)*(1+D$5)/($A6-D$5)/POWER(1+$A6,5)-'DCF - FCFF'!$O$21)/'DCF - FCFF'!$Q$21)</f>
        <v/>
      </c>
      <c r="E6" s="13">
        <f>IF($A6-E$5&lt;0.01,NA(),('DCF - FCFF'!$B$21*SUMPRODUCT(POWER(1+'DCF - FCFF'!$D$21,{1,2,3,4,5})/POWER(1+$A6,{1,2,3,4,5}))+'DCF - FCFF'!$B$21*POWER(1+'DCF - FCFF'!$D$21,5)*(1+E$5)/($A6-E$5)/POWER(1+$A6,5)-'DCF - FCFF'!$O$21)/'DCF - FCFF'!$Q$21)</f>
        <v/>
      </c>
      <c r="F6" s="13">
        <f>IF($A6-F$5&lt;0.01,NA(),('DCF - FCFF'!$B$21*SUMPRODUCT(POWER(1+'DCF - FCFF'!$D$21,{1,2,3,4,5})/POWER(1+$A6,{1,2,3,4,5}))+'DCF - FCFF'!$B$21*POWER(1+'DCF - FCFF'!$D$21,5)*(1+F$5)/($A6-F$5)/POWER(1+$A6,5)-'DCF - FCFF'!$O$21)/'DCF - FCFF'!$Q$21)</f>
        <v/>
      </c>
      <c r="G6" s="13">
        <f>IF($A6-G$5&lt;0.01,NA(),('DCF - FCFF'!$B$21*SUMPRODUCT(POWER(1+'DCF - FCFF'!$D$21,{1,2,3,4,5})/POWER(1+$A6,{1,2,3,4,5}))+'DCF - FCFF'!$B$21*POWER(1+'DCF - FCFF'!$D$21,5)*(1+G$5)/($A6-G$5)/POWER(1+$A6,5)-'DCF - FCFF'!$O$21)/'DCF - FCFF'!$Q$21)</f>
        <v/>
      </c>
      <c r="H6" s="13">
        <f>IF($A6-H$5&lt;0.01,NA(),('DCF - FCFF'!$B$21*SUMPRODUCT(POWER(1+'DCF - FCFF'!$D$21,{1,2,3,4,5})/POWER(1+$A6,{1,2,3,4,5}))+'DCF - FCFF'!$B$21*POWER(1+'DCF - FCFF'!$D$21,5)*(1+H$5)/($A6-H$5)/POWER(1+$A6,5)-'DCF - FCFF'!$O$21)/'DCF - FCFF'!$Q$21)</f>
        <v/>
      </c>
      <c r="I6" s="13">
        <f>IF($A6-I$5&lt;0.01,NA(),('DCF - FCFF'!$B$21*SUMPRODUCT(POWER(1+'DCF - FCFF'!$D$21,{1,2,3,4,5})/POWER(1+$A6,{1,2,3,4,5}))+'DCF - FCFF'!$B$21*POWER(1+'DCF - FCFF'!$D$21,5)*(1+I$5)/($A6-I$5)/POWER(1+$A6,5)-'DCF - FCFF'!$O$21)/'DCF - FCFF'!$Q$21)</f>
        <v/>
      </c>
      <c r="J6" s="13">
        <f>IF($A6-J$5&lt;0.01,NA(),('DCF - FCFF'!$B$21*SUMPRODUCT(POWER(1+'DCF - FCFF'!$D$21,{1,2,3,4,5})/POWER(1+$A6,{1,2,3,4,5}))+'DCF - FCFF'!$B$21*POWER(1+'DCF - FCFF'!$D$21,5)*(1+J$5)/($A6-J$5)/POWER(1+$A6,5)-'DCF - FCFF'!$O$21)/'DCF - FCFF'!$Q$21)</f>
        <v/>
      </c>
    </row>
    <row r="7">
      <c r="A7" s="25">
        <f>'DCF - FCFF'!$E$21-0.015</f>
        <v/>
      </c>
      <c r="B7" s="13">
        <f>IF($A7-B$5&lt;0.01,NA(),('DCF - FCFF'!$B$21*SUMPRODUCT(POWER(1+'DCF - FCFF'!$D$21,{1,2,3,4,5})/POWER(1+$A7,{1,2,3,4,5}))+'DCF - FCFF'!$B$21*POWER(1+'DCF - FCFF'!$D$21,5)*(1+B$5)/($A7-B$5)/POWER(1+$A7,5)-'DCF - FCFF'!$O$21)/'DCF - FCFF'!$Q$21)</f>
        <v/>
      </c>
      <c r="C7" s="13">
        <f>IF($A7-C$5&lt;0.01,NA(),('DCF - FCFF'!$B$21*SUMPRODUCT(POWER(1+'DCF - FCFF'!$D$21,{1,2,3,4,5})/POWER(1+$A7,{1,2,3,4,5}))+'DCF - FCFF'!$B$21*POWER(1+'DCF - FCFF'!$D$21,5)*(1+C$5)/($A7-C$5)/POWER(1+$A7,5)-'DCF - FCFF'!$O$21)/'DCF - FCFF'!$Q$21)</f>
        <v/>
      </c>
      <c r="D7" s="13">
        <f>IF($A7-D$5&lt;0.01,NA(),('DCF - FCFF'!$B$21*SUMPRODUCT(POWER(1+'DCF - FCFF'!$D$21,{1,2,3,4,5})/POWER(1+$A7,{1,2,3,4,5}))+'DCF - FCFF'!$B$21*POWER(1+'DCF - FCFF'!$D$21,5)*(1+D$5)/($A7-D$5)/POWER(1+$A7,5)-'DCF - FCFF'!$O$21)/'DCF - FCFF'!$Q$21)</f>
        <v/>
      </c>
      <c r="E7" s="13">
        <f>IF($A7-E$5&lt;0.01,NA(),('DCF - FCFF'!$B$21*SUMPRODUCT(POWER(1+'DCF - FCFF'!$D$21,{1,2,3,4,5})/POWER(1+$A7,{1,2,3,4,5}))+'DCF - FCFF'!$B$21*POWER(1+'DCF - FCFF'!$D$21,5)*(1+E$5)/($A7-E$5)/POWER(1+$A7,5)-'DCF - FCFF'!$O$21)/'DCF - FCFF'!$Q$21)</f>
        <v/>
      </c>
      <c r="F7" s="13">
        <f>IF($A7-F$5&lt;0.01,NA(),('DCF - FCFF'!$B$21*SUMPRODUCT(POWER(1+'DCF - FCFF'!$D$21,{1,2,3,4,5})/POWER(1+$A7,{1,2,3,4,5}))+'DCF - FCFF'!$B$21*POWER(1+'DCF - FCFF'!$D$21,5)*(1+F$5)/($A7-F$5)/POWER(1+$A7,5)-'DCF - FCFF'!$O$21)/'DCF - FCFF'!$Q$21)</f>
        <v/>
      </c>
      <c r="G7" s="13">
        <f>IF($A7-G$5&lt;0.01,NA(),('DCF - FCFF'!$B$21*SUMPRODUCT(POWER(1+'DCF - FCFF'!$D$21,{1,2,3,4,5})/POWER(1+$A7,{1,2,3,4,5}))+'DCF - FCFF'!$B$21*POWER(1+'DCF - FCFF'!$D$21,5)*(1+G$5)/($A7-G$5)/POWER(1+$A7,5)-'DCF - FCFF'!$O$21)/'DCF - FCFF'!$Q$21)</f>
        <v/>
      </c>
      <c r="H7" s="13">
        <f>IF($A7-H$5&lt;0.01,NA(),('DCF - FCFF'!$B$21*SUMPRODUCT(POWER(1+'DCF - FCFF'!$D$21,{1,2,3,4,5})/POWER(1+$A7,{1,2,3,4,5}))+'DCF - FCFF'!$B$21*POWER(1+'DCF - FCFF'!$D$21,5)*(1+H$5)/($A7-H$5)/POWER(1+$A7,5)-'DCF - FCFF'!$O$21)/'DCF - FCFF'!$Q$21)</f>
        <v/>
      </c>
      <c r="I7" s="13">
        <f>IF($A7-I$5&lt;0.01,NA(),('DCF - FCFF'!$B$21*SUMPRODUCT(POWER(1+'DCF - FCFF'!$D$21,{1,2,3,4,5})/POWER(1+$A7,{1,2,3,4,5}))+'DCF - FCFF'!$B$21*POWER(1+'DCF - FCFF'!$D$21,5)*(1+I$5)/($A7-I$5)/POWER(1+$A7,5)-'DCF - FCFF'!$O$21)/'DCF - FCFF'!$Q$21)</f>
        <v/>
      </c>
      <c r="J7" s="13">
        <f>IF($A7-J$5&lt;0.01,NA(),('DCF - FCFF'!$B$21*SUMPRODUCT(POWER(1+'DCF - FCFF'!$D$21,{1,2,3,4,5})/POWER(1+$A7,{1,2,3,4,5}))+'DCF - FCFF'!$B$21*POWER(1+'DCF - FCFF'!$D$21,5)*(1+J$5)/($A7-J$5)/POWER(1+$A7,5)-'DCF - FCFF'!$O$21)/'DCF - FCFF'!$Q$21)</f>
        <v/>
      </c>
    </row>
    <row r="8">
      <c r="A8" s="25">
        <f>'DCF - FCFF'!$E$21-0.01</f>
        <v/>
      </c>
      <c r="B8" s="13">
        <f>IF($A8-B$5&lt;0.01,NA(),('DCF - FCFF'!$B$21*SUMPRODUCT(POWER(1+'DCF - FCFF'!$D$21,{1,2,3,4,5})/POWER(1+$A8,{1,2,3,4,5}))+'DCF - FCFF'!$B$21*POWER(1+'DCF - FCFF'!$D$21,5)*(1+B$5)/($A8-B$5)/POWER(1+$A8,5)-'DCF - FCFF'!$O$21)/'DCF - FCFF'!$Q$21)</f>
        <v/>
      </c>
      <c r="C8" s="13">
        <f>IF($A8-C$5&lt;0.01,NA(),('DCF - FCFF'!$B$21*SUMPRODUCT(POWER(1+'DCF - FCFF'!$D$21,{1,2,3,4,5})/POWER(1+$A8,{1,2,3,4,5}))+'DCF - FCFF'!$B$21*POWER(1+'DCF - FCFF'!$D$21,5)*(1+C$5)/($A8-C$5)/POWER(1+$A8,5)-'DCF - FCFF'!$O$21)/'DCF - FCFF'!$Q$21)</f>
        <v/>
      </c>
      <c r="D8" s="13">
        <f>IF($A8-D$5&lt;0.01,NA(),('DCF - FCFF'!$B$21*SUMPRODUCT(POWER(1+'DCF - FCFF'!$D$21,{1,2,3,4,5})/POWER(1+$A8,{1,2,3,4,5}))+'DCF - FCFF'!$B$21*POWER(1+'DCF - FCFF'!$D$21,5)*(1+D$5)/($A8-D$5)/POWER(1+$A8,5)-'DCF - FCFF'!$O$21)/'DCF - FCFF'!$Q$21)</f>
        <v/>
      </c>
      <c r="E8" s="13">
        <f>IF($A8-E$5&lt;0.01,NA(),('DCF - FCFF'!$B$21*SUMPRODUCT(POWER(1+'DCF - FCFF'!$D$21,{1,2,3,4,5})/POWER(1+$A8,{1,2,3,4,5}))+'DCF - FCFF'!$B$21*POWER(1+'DCF - FCFF'!$D$21,5)*(1+E$5)/($A8-E$5)/POWER(1+$A8,5)-'DCF - FCFF'!$O$21)/'DCF - FCFF'!$Q$21)</f>
        <v/>
      </c>
      <c r="F8" s="13">
        <f>IF($A8-F$5&lt;0.01,NA(),('DCF - FCFF'!$B$21*SUMPRODUCT(POWER(1+'DCF - FCFF'!$D$21,{1,2,3,4,5})/POWER(1+$A8,{1,2,3,4,5}))+'DCF - FCFF'!$B$21*POWER(1+'DCF - FCFF'!$D$21,5)*(1+F$5)/($A8-F$5)/POWER(1+$A8,5)-'DCF - FCFF'!$O$21)/'DCF - FCFF'!$Q$21)</f>
        <v/>
      </c>
      <c r="G8" s="13">
        <f>IF($A8-G$5&lt;0.01,NA(),('DCF - FCFF'!$B$21*SUMPRODUCT(POWER(1+'DCF - FCFF'!$D$21,{1,2,3,4,5})/POWER(1+$A8,{1,2,3,4,5}))+'DCF - FCFF'!$B$21*POWER(1+'DCF - FCFF'!$D$21,5)*(1+G$5)/($A8-G$5)/POWER(1+$A8,5)-'DCF - FCFF'!$O$21)/'DCF - FCFF'!$Q$21)</f>
        <v/>
      </c>
      <c r="H8" s="13">
        <f>IF($A8-H$5&lt;0.01,NA(),('DCF - FCFF'!$B$21*SUMPRODUCT(POWER(1+'DCF - FCFF'!$D$21,{1,2,3,4,5})/POWER(1+$A8,{1,2,3,4,5}))+'DCF - FCFF'!$B$21*POWER(1+'DCF - FCFF'!$D$21,5)*(1+H$5)/($A8-H$5)/POWER(1+$A8,5)-'DCF - FCFF'!$O$21)/'DCF - FCFF'!$Q$21)</f>
        <v/>
      </c>
      <c r="I8" s="13">
        <f>IF($A8-I$5&lt;0.01,NA(),('DCF - FCFF'!$B$21*SUMPRODUCT(POWER(1+'DCF - FCFF'!$D$21,{1,2,3,4,5})/POWER(1+$A8,{1,2,3,4,5}))+'DCF - FCFF'!$B$21*POWER(1+'DCF - FCFF'!$D$21,5)*(1+I$5)/($A8-I$5)/POWER(1+$A8,5)-'DCF - FCFF'!$O$21)/'DCF - FCFF'!$Q$21)</f>
        <v/>
      </c>
      <c r="J8" s="13">
        <f>IF($A8-J$5&lt;0.01,NA(),('DCF - FCFF'!$B$21*SUMPRODUCT(POWER(1+'DCF - FCFF'!$D$21,{1,2,3,4,5})/POWER(1+$A8,{1,2,3,4,5}))+'DCF - FCFF'!$B$21*POWER(1+'DCF - FCFF'!$D$21,5)*(1+J$5)/($A8-J$5)/POWER(1+$A8,5)-'DCF - FCFF'!$O$21)/'DCF - FCFF'!$Q$21)</f>
        <v/>
      </c>
    </row>
    <row r="9">
      <c r="A9" s="25">
        <f>'DCF - FCFF'!$E$21-0.005</f>
        <v/>
      </c>
      <c r="B9" s="13">
        <f>IF($A9-B$5&lt;0.01,NA(),('DCF - FCFF'!$B$21*SUMPRODUCT(POWER(1+'DCF - FCFF'!$D$21,{1,2,3,4,5})/POWER(1+$A9,{1,2,3,4,5}))+'DCF - FCFF'!$B$21*POWER(1+'DCF - FCFF'!$D$21,5)*(1+B$5)/($A9-B$5)/POWER(1+$A9,5)-'DCF - FCFF'!$O$21)/'DCF - FCFF'!$Q$21)</f>
        <v/>
      </c>
      <c r="C9" s="13">
        <f>IF($A9-C$5&lt;0.01,NA(),('DCF - FCFF'!$B$21*SUMPRODUCT(POWER(1+'DCF - FCFF'!$D$21,{1,2,3,4,5})/POWER(1+$A9,{1,2,3,4,5}))+'DCF - FCFF'!$B$21*POWER(1+'DCF - FCFF'!$D$21,5)*(1+C$5)/($A9-C$5)/POWER(1+$A9,5)-'DCF - FCFF'!$O$21)/'DCF - FCFF'!$Q$21)</f>
        <v/>
      </c>
      <c r="D9" s="13">
        <f>IF($A9-D$5&lt;0.01,NA(),('DCF - FCFF'!$B$21*SUMPRODUCT(POWER(1+'DCF - FCFF'!$D$21,{1,2,3,4,5})/POWER(1+$A9,{1,2,3,4,5}))+'DCF - FCFF'!$B$21*POWER(1+'DCF - FCFF'!$D$21,5)*(1+D$5)/($A9-D$5)/POWER(1+$A9,5)-'DCF - FCFF'!$O$21)/'DCF - FCFF'!$Q$21)</f>
        <v/>
      </c>
      <c r="E9" s="13">
        <f>IF($A9-E$5&lt;0.01,NA(),('DCF - FCFF'!$B$21*SUMPRODUCT(POWER(1+'DCF - FCFF'!$D$21,{1,2,3,4,5})/POWER(1+$A9,{1,2,3,4,5}))+'DCF - FCFF'!$B$21*POWER(1+'DCF - FCFF'!$D$21,5)*(1+E$5)/($A9-E$5)/POWER(1+$A9,5)-'DCF - FCFF'!$O$21)/'DCF - FCFF'!$Q$21)</f>
        <v/>
      </c>
      <c r="F9" s="13">
        <f>IF($A9-F$5&lt;0.01,NA(),('DCF - FCFF'!$B$21*SUMPRODUCT(POWER(1+'DCF - FCFF'!$D$21,{1,2,3,4,5})/POWER(1+$A9,{1,2,3,4,5}))+'DCF - FCFF'!$B$21*POWER(1+'DCF - FCFF'!$D$21,5)*(1+F$5)/($A9-F$5)/POWER(1+$A9,5)-'DCF - FCFF'!$O$21)/'DCF - FCFF'!$Q$21)</f>
        <v/>
      </c>
      <c r="G9" s="13">
        <f>IF($A9-G$5&lt;0.01,NA(),('DCF - FCFF'!$B$21*SUMPRODUCT(POWER(1+'DCF - FCFF'!$D$21,{1,2,3,4,5})/POWER(1+$A9,{1,2,3,4,5}))+'DCF - FCFF'!$B$21*POWER(1+'DCF - FCFF'!$D$21,5)*(1+G$5)/($A9-G$5)/POWER(1+$A9,5)-'DCF - FCFF'!$O$21)/'DCF - FCFF'!$Q$21)</f>
        <v/>
      </c>
      <c r="H9" s="13">
        <f>IF($A9-H$5&lt;0.01,NA(),('DCF - FCFF'!$B$21*SUMPRODUCT(POWER(1+'DCF - FCFF'!$D$21,{1,2,3,4,5})/POWER(1+$A9,{1,2,3,4,5}))+'DCF - FCFF'!$B$21*POWER(1+'DCF - FCFF'!$D$21,5)*(1+H$5)/($A9-H$5)/POWER(1+$A9,5)-'DCF - FCFF'!$O$21)/'DCF - FCFF'!$Q$21)</f>
        <v/>
      </c>
      <c r="I9" s="13">
        <f>IF($A9-I$5&lt;0.01,NA(),('DCF - FCFF'!$B$21*SUMPRODUCT(POWER(1+'DCF - FCFF'!$D$21,{1,2,3,4,5})/POWER(1+$A9,{1,2,3,4,5}))+'DCF - FCFF'!$B$21*POWER(1+'DCF - FCFF'!$D$21,5)*(1+I$5)/($A9-I$5)/POWER(1+$A9,5)-'DCF - FCFF'!$O$21)/'DCF - FCFF'!$Q$21)</f>
        <v/>
      </c>
      <c r="J9" s="13">
        <f>IF($A9-J$5&lt;0.01,NA(),('DCF - FCFF'!$B$21*SUMPRODUCT(POWER(1+'DCF - FCFF'!$D$21,{1,2,3,4,5})/POWER(1+$A9,{1,2,3,4,5}))+'DCF - FCFF'!$B$21*POWER(1+'DCF - FCFF'!$D$21,5)*(1+J$5)/($A9-J$5)/POWER(1+$A9,5)-'DCF - FCFF'!$O$21)/'DCF - FCFF'!$Q$21)</f>
        <v/>
      </c>
    </row>
    <row r="10">
      <c r="A10" s="25">
        <f>'DCF - FCFF'!$E$21+0.0</f>
        <v/>
      </c>
      <c r="B10" s="13">
        <f>IF($A10-B$5&lt;0.01,NA(),('DCF - FCFF'!$B$21*SUMPRODUCT(POWER(1+'DCF - FCFF'!$D$21,{1,2,3,4,5})/POWER(1+$A10,{1,2,3,4,5}))+'DCF - FCFF'!$B$21*POWER(1+'DCF - FCFF'!$D$21,5)*(1+B$5)/($A10-B$5)/POWER(1+$A10,5)-'DCF - FCFF'!$O$21)/'DCF - FCFF'!$Q$21)</f>
        <v/>
      </c>
      <c r="C10" s="13">
        <f>IF($A10-C$5&lt;0.01,NA(),('DCF - FCFF'!$B$21*SUMPRODUCT(POWER(1+'DCF - FCFF'!$D$21,{1,2,3,4,5})/POWER(1+$A10,{1,2,3,4,5}))+'DCF - FCFF'!$B$21*POWER(1+'DCF - FCFF'!$D$21,5)*(1+C$5)/($A10-C$5)/POWER(1+$A10,5)-'DCF - FCFF'!$O$21)/'DCF - FCFF'!$Q$21)</f>
        <v/>
      </c>
      <c r="D10" s="13">
        <f>IF($A10-D$5&lt;0.01,NA(),('DCF - FCFF'!$B$21*SUMPRODUCT(POWER(1+'DCF - FCFF'!$D$21,{1,2,3,4,5})/POWER(1+$A10,{1,2,3,4,5}))+'DCF - FCFF'!$B$21*POWER(1+'DCF - FCFF'!$D$21,5)*(1+D$5)/($A10-D$5)/POWER(1+$A10,5)-'DCF - FCFF'!$O$21)/'DCF - FCFF'!$Q$21)</f>
        <v/>
      </c>
      <c r="E10" s="13">
        <f>IF($A10-E$5&lt;0.01,NA(),('DCF - FCFF'!$B$21*SUMPRODUCT(POWER(1+'DCF - FCFF'!$D$21,{1,2,3,4,5})/POWER(1+$A10,{1,2,3,4,5}))+'DCF - FCFF'!$B$21*POWER(1+'DCF - FCFF'!$D$21,5)*(1+E$5)/($A10-E$5)/POWER(1+$A10,5)-'DCF - FCFF'!$O$21)/'DCF - FCFF'!$Q$21)</f>
        <v/>
      </c>
      <c r="F10" s="13">
        <f>IF($A10-F$5&lt;0.01,NA(),('DCF - FCFF'!$B$21*SUMPRODUCT(POWER(1+'DCF - FCFF'!$D$21,{1,2,3,4,5})/POWER(1+$A10,{1,2,3,4,5}))+'DCF - FCFF'!$B$21*POWER(1+'DCF - FCFF'!$D$21,5)*(1+F$5)/($A10-F$5)/POWER(1+$A10,5)-'DCF - FCFF'!$O$21)/'DCF - FCFF'!$Q$21)</f>
        <v/>
      </c>
      <c r="G10" s="13">
        <f>IF($A10-G$5&lt;0.01,NA(),('DCF - FCFF'!$B$21*SUMPRODUCT(POWER(1+'DCF - FCFF'!$D$21,{1,2,3,4,5})/POWER(1+$A10,{1,2,3,4,5}))+'DCF - FCFF'!$B$21*POWER(1+'DCF - FCFF'!$D$21,5)*(1+G$5)/($A10-G$5)/POWER(1+$A10,5)-'DCF - FCFF'!$O$21)/'DCF - FCFF'!$Q$21)</f>
        <v/>
      </c>
      <c r="H10" s="34">
        <f>IF($A10-H$5&lt;0.01,NA(),('DCF - FCFF'!$B$21*SUMPRODUCT(POWER(1+'DCF - FCFF'!$D$21,{1,2,3,4,5})/POWER(1+$A10,{1,2,3,4,5}))+'DCF - FCFF'!$B$21*POWER(1+'DCF - FCFF'!$D$21,5)*(1+H$5)/($A10-H$5)/POWER(1+$A10,5)-'DCF - FCFF'!$O$21)/'DCF - FCFF'!$Q$21)</f>
        <v/>
      </c>
      <c r="I10" s="13">
        <f>IF($A10-I$5&lt;0.01,NA(),('DCF - FCFF'!$B$21*SUMPRODUCT(POWER(1+'DCF - FCFF'!$D$21,{1,2,3,4,5})/POWER(1+$A10,{1,2,3,4,5}))+'DCF - FCFF'!$B$21*POWER(1+'DCF - FCFF'!$D$21,5)*(1+I$5)/($A10-I$5)/POWER(1+$A10,5)-'DCF - FCFF'!$O$21)/'DCF - FCFF'!$Q$21)</f>
        <v/>
      </c>
      <c r="J10" s="13">
        <f>IF($A10-J$5&lt;0.01,NA(),('DCF - FCFF'!$B$21*SUMPRODUCT(POWER(1+'DCF - FCFF'!$D$21,{1,2,3,4,5})/POWER(1+$A10,{1,2,3,4,5}))+'DCF - FCFF'!$B$21*POWER(1+'DCF - FCFF'!$D$21,5)*(1+J$5)/($A10-J$5)/POWER(1+$A10,5)-'DCF - FCFF'!$O$21)/'DCF - FCFF'!$Q$21)</f>
        <v/>
      </c>
    </row>
    <row r="11">
      <c r="A11" s="25">
        <f>'DCF - FCFF'!$E$21+0.005</f>
        <v/>
      </c>
      <c r="B11" s="13">
        <f>IF($A11-B$5&lt;0.01,NA(),('DCF - FCFF'!$B$21*SUMPRODUCT(POWER(1+'DCF - FCFF'!$D$21,{1,2,3,4,5})/POWER(1+$A11,{1,2,3,4,5}))+'DCF - FCFF'!$B$21*POWER(1+'DCF - FCFF'!$D$21,5)*(1+B$5)/($A11-B$5)/POWER(1+$A11,5)-'DCF - FCFF'!$O$21)/'DCF - FCFF'!$Q$21)</f>
        <v/>
      </c>
      <c r="C11" s="13">
        <f>IF($A11-C$5&lt;0.01,NA(),('DCF - FCFF'!$B$21*SUMPRODUCT(POWER(1+'DCF - FCFF'!$D$21,{1,2,3,4,5})/POWER(1+$A11,{1,2,3,4,5}))+'DCF - FCFF'!$B$21*POWER(1+'DCF - FCFF'!$D$21,5)*(1+C$5)/($A11-C$5)/POWER(1+$A11,5)-'DCF - FCFF'!$O$21)/'DCF - FCFF'!$Q$21)</f>
        <v/>
      </c>
      <c r="D11" s="13">
        <f>IF($A11-D$5&lt;0.01,NA(),('DCF - FCFF'!$B$21*SUMPRODUCT(POWER(1+'DCF - FCFF'!$D$21,{1,2,3,4,5})/POWER(1+$A11,{1,2,3,4,5}))+'DCF - FCFF'!$B$21*POWER(1+'DCF - FCFF'!$D$21,5)*(1+D$5)/($A11-D$5)/POWER(1+$A11,5)-'DCF - FCFF'!$O$21)/'DCF - FCFF'!$Q$21)</f>
        <v/>
      </c>
      <c r="E11" s="13">
        <f>IF($A11-E$5&lt;0.01,NA(),('DCF - FCFF'!$B$21*SUMPRODUCT(POWER(1+'DCF - FCFF'!$D$21,{1,2,3,4,5})/POWER(1+$A11,{1,2,3,4,5}))+'DCF - FCFF'!$B$21*POWER(1+'DCF - FCFF'!$D$21,5)*(1+E$5)/($A11-E$5)/POWER(1+$A11,5)-'DCF - FCFF'!$O$21)/'DCF - FCFF'!$Q$21)</f>
        <v/>
      </c>
      <c r="F11" s="13">
        <f>IF($A11-F$5&lt;0.01,NA(),('DCF - FCFF'!$B$21*SUMPRODUCT(POWER(1+'DCF - FCFF'!$D$21,{1,2,3,4,5})/POWER(1+$A11,{1,2,3,4,5}))+'DCF - FCFF'!$B$21*POWER(1+'DCF - FCFF'!$D$21,5)*(1+F$5)/($A11-F$5)/POWER(1+$A11,5)-'DCF - FCFF'!$O$21)/'DCF - FCFF'!$Q$21)</f>
        <v/>
      </c>
      <c r="G11" s="13">
        <f>IF($A11-G$5&lt;0.01,NA(),('DCF - FCFF'!$B$21*SUMPRODUCT(POWER(1+'DCF - FCFF'!$D$21,{1,2,3,4,5})/POWER(1+$A11,{1,2,3,4,5}))+'DCF - FCFF'!$B$21*POWER(1+'DCF - FCFF'!$D$21,5)*(1+G$5)/($A11-G$5)/POWER(1+$A11,5)-'DCF - FCFF'!$O$21)/'DCF - FCFF'!$Q$21)</f>
        <v/>
      </c>
      <c r="H11" s="13">
        <f>IF($A11-H$5&lt;0.01,NA(),('DCF - FCFF'!$B$21*SUMPRODUCT(POWER(1+'DCF - FCFF'!$D$21,{1,2,3,4,5})/POWER(1+$A11,{1,2,3,4,5}))+'DCF - FCFF'!$B$21*POWER(1+'DCF - FCFF'!$D$21,5)*(1+H$5)/($A11-H$5)/POWER(1+$A11,5)-'DCF - FCFF'!$O$21)/'DCF - FCFF'!$Q$21)</f>
        <v/>
      </c>
      <c r="I11" s="13">
        <f>IF($A11-I$5&lt;0.01,NA(),('DCF - FCFF'!$B$21*SUMPRODUCT(POWER(1+'DCF - FCFF'!$D$21,{1,2,3,4,5})/POWER(1+$A11,{1,2,3,4,5}))+'DCF - FCFF'!$B$21*POWER(1+'DCF - FCFF'!$D$21,5)*(1+I$5)/($A11-I$5)/POWER(1+$A11,5)-'DCF - FCFF'!$O$21)/'DCF - FCFF'!$Q$21)</f>
        <v/>
      </c>
      <c r="J11" s="13">
        <f>IF($A11-J$5&lt;0.01,NA(),('DCF - FCFF'!$B$21*SUMPRODUCT(POWER(1+'DCF - FCFF'!$D$21,{1,2,3,4,5})/POWER(1+$A11,{1,2,3,4,5}))+'DCF - FCFF'!$B$21*POWER(1+'DCF - FCFF'!$D$21,5)*(1+J$5)/($A11-J$5)/POWER(1+$A11,5)-'DCF - FCFF'!$O$21)/'DCF - FCFF'!$Q$21)</f>
        <v/>
      </c>
    </row>
    <row r="12">
      <c r="A12" s="25">
        <f>'DCF - FCFF'!$E$21+0.01</f>
        <v/>
      </c>
      <c r="B12" s="13">
        <f>IF($A12-B$5&lt;0.01,NA(),('DCF - FCFF'!$B$21*SUMPRODUCT(POWER(1+'DCF - FCFF'!$D$21,{1,2,3,4,5})/POWER(1+$A12,{1,2,3,4,5}))+'DCF - FCFF'!$B$21*POWER(1+'DCF - FCFF'!$D$21,5)*(1+B$5)/($A12-B$5)/POWER(1+$A12,5)-'DCF - FCFF'!$O$21)/'DCF - FCFF'!$Q$21)</f>
        <v/>
      </c>
      <c r="C12" s="13">
        <f>IF($A12-C$5&lt;0.01,NA(),('DCF - FCFF'!$B$21*SUMPRODUCT(POWER(1+'DCF - FCFF'!$D$21,{1,2,3,4,5})/POWER(1+$A12,{1,2,3,4,5}))+'DCF - FCFF'!$B$21*POWER(1+'DCF - FCFF'!$D$21,5)*(1+C$5)/($A12-C$5)/POWER(1+$A12,5)-'DCF - FCFF'!$O$21)/'DCF - FCFF'!$Q$21)</f>
        <v/>
      </c>
      <c r="D12" s="13">
        <f>IF($A12-D$5&lt;0.01,NA(),('DCF - FCFF'!$B$21*SUMPRODUCT(POWER(1+'DCF - FCFF'!$D$21,{1,2,3,4,5})/POWER(1+$A12,{1,2,3,4,5}))+'DCF - FCFF'!$B$21*POWER(1+'DCF - FCFF'!$D$21,5)*(1+D$5)/($A12-D$5)/POWER(1+$A12,5)-'DCF - FCFF'!$O$21)/'DCF - FCFF'!$Q$21)</f>
        <v/>
      </c>
      <c r="E12" s="13">
        <f>IF($A12-E$5&lt;0.01,NA(),('DCF - FCFF'!$B$21*SUMPRODUCT(POWER(1+'DCF - FCFF'!$D$21,{1,2,3,4,5})/POWER(1+$A12,{1,2,3,4,5}))+'DCF - FCFF'!$B$21*POWER(1+'DCF - FCFF'!$D$21,5)*(1+E$5)/($A12-E$5)/POWER(1+$A12,5)-'DCF - FCFF'!$O$21)/'DCF - FCFF'!$Q$21)</f>
        <v/>
      </c>
      <c r="F12" s="13">
        <f>IF($A12-F$5&lt;0.01,NA(),('DCF - FCFF'!$B$21*SUMPRODUCT(POWER(1+'DCF - FCFF'!$D$21,{1,2,3,4,5})/POWER(1+$A12,{1,2,3,4,5}))+'DCF - FCFF'!$B$21*POWER(1+'DCF - FCFF'!$D$21,5)*(1+F$5)/($A12-F$5)/POWER(1+$A12,5)-'DCF - FCFF'!$O$21)/'DCF - FCFF'!$Q$21)</f>
        <v/>
      </c>
      <c r="G12" s="13">
        <f>IF($A12-G$5&lt;0.01,NA(),('DCF - FCFF'!$B$21*SUMPRODUCT(POWER(1+'DCF - FCFF'!$D$21,{1,2,3,4,5})/POWER(1+$A12,{1,2,3,4,5}))+'DCF - FCFF'!$B$21*POWER(1+'DCF - FCFF'!$D$21,5)*(1+G$5)/($A12-G$5)/POWER(1+$A12,5)-'DCF - FCFF'!$O$21)/'DCF - FCFF'!$Q$21)</f>
        <v/>
      </c>
      <c r="H12" s="13">
        <f>IF($A12-H$5&lt;0.01,NA(),('DCF - FCFF'!$B$21*SUMPRODUCT(POWER(1+'DCF - FCFF'!$D$21,{1,2,3,4,5})/POWER(1+$A12,{1,2,3,4,5}))+'DCF - FCFF'!$B$21*POWER(1+'DCF - FCFF'!$D$21,5)*(1+H$5)/($A12-H$5)/POWER(1+$A12,5)-'DCF - FCFF'!$O$21)/'DCF - FCFF'!$Q$21)</f>
        <v/>
      </c>
      <c r="I12" s="13">
        <f>IF($A12-I$5&lt;0.01,NA(),('DCF - FCFF'!$B$21*SUMPRODUCT(POWER(1+'DCF - FCFF'!$D$21,{1,2,3,4,5})/POWER(1+$A12,{1,2,3,4,5}))+'DCF - FCFF'!$B$21*POWER(1+'DCF - FCFF'!$D$21,5)*(1+I$5)/($A12-I$5)/POWER(1+$A12,5)-'DCF - FCFF'!$O$21)/'DCF - FCFF'!$Q$21)</f>
        <v/>
      </c>
      <c r="J12" s="13">
        <f>IF($A12-J$5&lt;0.01,NA(),('DCF - FCFF'!$B$21*SUMPRODUCT(POWER(1+'DCF - FCFF'!$D$21,{1,2,3,4,5})/POWER(1+$A12,{1,2,3,4,5}))+'DCF - FCFF'!$B$21*POWER(1+'DCF - FCFF'!$D$21,5)*(1+J$5)/($A12-J$5)/POWER(1+$A12,5)-'DCF - FCFF'!$O$21)/'DCF - FCFF'!$Q$21)</f>
        <v/>
      </c>
    </row>
    <row r="13">
      <c r="A13" s="25">
        <f>'DCF - FCFF'!$E$21+0.015</f>
        <v/>
      </c>
      <c r="B13" s="13">
        <f>IF($A13-B$5&lt;0.01,NA(),('DCF - FCFF'!$B$21*SUMPRODUCT(POWER(1+'DCF - FCFF'!$D$21,{1,2,3,4,5})/POWER(1+$A13,{1,2,3,4,5}))+'DCF - FCFF'!$B$21*POWER(1+'DCF - FCFF'!$D$21,5)*(1+B$5)/($A13-B$5)/POWER(1+$A13,5)-'DCF - FCFF'!$O$21)/'DCF - FCFF'!$Q$21)</f>
        <v/>
      </c>
      <c r="C13" s="13">
        <f>IF($A13-C$5&lt;0.01,NA(),('DCF - FCFF'!$B$21*SUMPRODUCT(POWER(1+'DCF - FCFF'!$D$21,{1,2,3,4,5})/POWER(1+$A13,{1,2,3,4,5}))+'DCF - FCFF'!$B$21*POWER(1+'DCF - FCFF'!$D$21,5)*(1+C$5)/($A13-C$5)/POWER(1+$A13,5)-'DCF - FCFF'!$O$21)/'DCF - FCFF'!$Q$21)</f>
        <v/>
      </c>
      <c r="D13" s="13">
        <f>IF($A13-D$5&lt;0.01,NA(),('DCF - FCFF'!$B$21*SUMPRODUCT(POWER(1+'DCF - FCFF'!$D$21,{1,2,3,4,5})/POWER(1+$A13,{1,2,3,4,5}))+'DCF - FCFF'!$B$21*POWER(1+'DCF - FCFF'!$D$21,5)*(1+D$5)/($A13-D$5)/POWER(1+$A13,5)-'DCF - FCFF'!$O$21)/'DCF - FCFF'!$Q$21)</f>
        <v/>
      </c>
      <c r="E13" s="13">
        <f>IF($A13-E$5&lt;0.01,NA(),('DCF - FCFF'!$B$21*SUMPRODUCT(POWER(1+'DCF - FCFF'!$D$21,{1,2,3,4,5})/POWER(1+$A13,{1,2,3,4,5}))+'DCF - FCFF'!$B$21*POWER(1+'DCF - FCFF'!$D$21,5)*(1+E$5)/($A13-E$5)/POWER(1+$A13,5)-'DCF - FCFF'!$O$21)/'DCF - FCFF'!$Q$21)</f>
        <v/>
      </c>
      <c r="F13" s="13">
        <f>IF($A13-F$5&lt;0.01,NA(),('DCF - FCFF'!$B$21*SUMPRODUCT(POWER(1+'DCF - FCFF'!$D$21,{1,2,3,4,5})/POWER(1+$A13,{1,2,3,4,5}))+'DCF - FCFF'!$B$21*POWER(1+'DCF - FCFF'!$D$21,5)*(1+F$5)/($A13-F$5)/POWER(1+$A13,5)-'DCF - FCFF'!$O$21)/'DCF - FCFF'!$Q$21)</f>
        <v/>
      </c>
      <c r="G13" s="13">
        <f>IF($A13-G$5&lt;0.01,NA(),('DCF - FCFF'!$B$21*SUMPRODUCT(POWER(1+'DCF - FCFF'!$D$21,{1,2,3,4,5})/POWER(1+$A13,{1,2,3,4,5}))+'DCF - FCFF'!$B$21*POWER(1+'DCF - FCFF'!$D$21,5)*(1+G$5)/($A13-G$5)/POWER(1+$A13,5)-'DCF - FCFF'!$O$21)/'DCF - FCFF'!$Q$21)</f>
        <v/>
      </c>
      <c r="H13" s="13">
        <f>IF($A13-H$5&lt;0.01,NA(),('DCF - FCFF'!$B$21*SUMPRODUCT(POWER(1+'DCF - FCFF'!$D$21,{1,2,3,4,5})/POWER(1+$A13,{1,2,3,4,5}))+'DCF - FCFF'!$B$21*POWER(1+'DCF - FCFF'!$D$21,5)*(1+H$5)/($A13-H$5)/POWER(1+$A13,5)-'DCF - FCFF'!$O$21)/'DCF - FCFF'!$Q$21)</f>
        <v/>
      </c>
      <c r="I13" s="13">
        <f>IF($A13-I$5&lt;0.01,NA(),('DCF - FCFF'!$B$21*SUMPRODUCT(POWER(1+'DCF - FCFF'!$D$21,{1,2,3,4,5})/POWER(1+$A13,{1,2,3,4,5}))+'DCF - FCFF'!$B$21*POWER(1+'DCF - FCFF'!$D$21,5)*(1+I$5)/($A13-I$5)/POWER(1+$A13,5)-'DCF - FCFF'!$O$21)/'DCF - FCFF'!$Q$21)</f>
        <v/>
      </c>
      <c r="J13" s="13">
        <f>IF($A13-J$5&lt;0.01,NA(),('DCF - FCFF'!$B$21*SUMPRODUCT(POWER(1+'DCF - FCFF'!$D$21,{1,2,3,4,5})/POWER(1+$A13,{1,2,3,4,5}))+'DCF - FCFF'!$B$21*POWER(1+'DCF - FCFF'!$D$21,5)*(1+J$5)/($A13-J$5)/POWER(1+$A13,5)-'DCF - FCFF'!$O$21)/'DCF - FCFF'!$Q$21)</f>
        <v/>
      </c>
    </row>
    <row r="14">
      <c r="A14" s="25">
        <f>'DCF - FCFF'!$E$21+0.02</f>
        <v/>
      </c>
      <c r="B14" s="13">
        <f>IF($A14-B$5&lt;0.01,NA(),('DCF - FCFF'!$B$21*SUMPRODUCT(POWER(1+'DCF - FCFF'!$D$21,{1,2,3,4,5})/POWER(1+$A14,{1,2,3,4,5}))+'DCF - FCFF'!$B$21*POWER(1+'DCF - FCFF'!$D$21,5)*(1+B$5)/($A14-B$5)/POWER(1+$A14,5)-'DCF - FCFF'!$O$21)/'DCF - FCFF'!$Q$21)</f>
        <v/>
      </c>
      <c r="C14" s="13">
        <f>IF($A14-C$5&lt;0.01,NA(),('DCF - FCFF'!$B$21*SUMPRODUCT(POWER(1+'DCF - FCFF'!$D$21,{1,2,3,4,5})/POWER(1+$A14,{1,2,3,4,5}))+'DCF - FCFF'!$B$21*POWER(1+'DCF - FCFF'!$D$21,5)*(1+C$5)/($A14-C$5)/POWER(1+$A14,5)-'DCF - FCFF'!$O$21)/'DCF - FCFF'!$Q$21)</f>
        <v/>
      </c>
      <c r="D14" s="13">
        <f>IF($A14-D$5&lt;0.01,NA(),('DCF - FCFF'!$B$21*SUMPRODUCT(POWER(1+'DCF - FCFF'!$D$21,{1,2,3,4,5})/POWER(1+$A14,{1,2,3,4,5}))+'DCF - FCFF'!$B$21*POWER(1+'DCF - FCFF'!$D$21,5)*(1+D$5)/($A14-D$5)/POWER(1+$A14,5)-'DCF - FCFF'!$O$21)/'DCF - FCFF'!$Q$21)</f>
        <v/>
      </c>
      <c r="E14" s="13">
        <f>IF($A14-E$5&lt;0.01,NA(),('DCF - FCFF'!$B$21*SUMPRODUCT(POWER(1+'DCF - FCFF'!$D$21,{1,2,3,4,5})/POWER(1+$A14,{1,2,3,4,5}))+'DCF - FCFF'!$B$21*POWER(1+'DCF - FCFF'!$D$21,5)*(1+E$5)/($A14-E$5)/POWER(1+$A14,5)-'DCF - FCFF'!$O$21)/'DCF - FCFF'!$Q$21)</f>
        <v/>
      </c>
      <c r="F14" s="13">
        <f>IF($A14-F$5&lt;0.01,NA(),('DCF - FCFF'!$B$21*SUMPRODUCT(POWER(1+'DCF - FCFF'!$D$21,{1,2,3,4,5})/POWER(1+$A14,{1,2,3,4,5}))+'DCF - FCFF'!$B$21*POWER(1+'DCF - FCFF'!$D$21,5)*(1+F$5)/($A14-F$5)/POWER(1+$A14,5)-'DCF - FCFF'!$O$21)/'DCF - FCFF'!$Q$21)</f>
        <v/>
      </c>
      <c r="G14" s="13">
        <f>IF($A14-G$5&lt;0.01,NA(),('DCF - FCFF'!$B$21*SUMPRODUCT(POWER(1+'DCF - FCFF'!$D$21,{1,2,3,4,5})/POWER(1+$A14,{1,2,3,4,5}))+'DCF - FCFF'!$B$21*POWER(1+'DCF - FCFF'!$D$21,5)*(1+G$5)/($A14-G$5)/POWER(1+$A14,5)-'DCF - FCFF'!$O$21)/'DCF - FCFF'!$Q$21)</f>
        <v/>
      </c>
      <c r="H14" s="13">
        <f>IF($A14-H$5&lt;0.01,NA(),('DCF - FCFF'!$B$21*SUMPRODUCT(POWER(1+'DCF - FCFF'!$D$21,{1,2,3,4,5})/POWER(1+$A14,{1,2,3,4,5}))+'DCF - FCFF'!$B$21*POWER(1+'DCF - FCFF'!$D$21,5)*(1+H$5)/($A14-H$5)/POWER(1+$A14,5)-'DCF - FCFF'!$O$21)/'DCF - FCFF'!$Q$21)</f>
        <v/>
      </c>
      <c r="I14" s="13">
        <f>IF($A14-I$5&lt;0.01,NA(),('DCF - FCFF'!$B$21*SUMPRODUCT(POWER(1+'DCF - FCFF'!$D$21,{1,2,3,4,5})/POWER(1+$A14,{1,2,3,4,5}))+'DCF - FCFF'!$B$21*POWER(1+'DCF - FCFF'!$D$21,5)*(1+I$5)/($A14-I$5)/POWER(1+$A14,5)-'DCF - FCFF'!$O$21)/'DCF - FCFF'!$Q$21)</f>
        <v/>
      </c>
      <c r="J14" s="13">
        <f>IF($A14-J$5&lt;0.01,NA(),('DCF - FCFF'!$B$21*SUMPRODUCT(POWER(1+'DCF - FCFF'!$D$21,{1,2,3,4,5})/POWER(1+$A14,{1,2,3,4,5}))+'DCF - FCFF'!$B$21*POWER(1+'DCF - FCFF'!$D$21,5)*(1+J$5)/($A14-J$5)/POWER(1+$A14,5)-'DCF - FCFF'!$O$21)/'DCF - FCFF'!$Q$21)</f>
        <v/>
      </c>
    </row>
    <row r="16">
      <c r="A16" s="3" t="inlineStr">
        <is>
          <t>ITC</t>
        </is>
      </c>
      <c r="B16" s="13">
        <f>'Market Data'!$C$3</f>
        <v/>
      </c>
      <c r="C16" s="2" t="inlineStr">
        <is>
          <t>← market price · rows: WACC · cols: terminal g</t>
        </is>
      </c>
    </row>
    <row r="17">
      <c r="B17" s="24" t="n">
        <v>0.01</v>
      </c>
      <c r="C17" s="24" t="n">
        <v>0.015</v>
      </c>
      <c r="D17" s="24" t="n">
        <v>0.02</v>
      </c>
      <c r="E17" s="24" t="n">
        <v>0.025</v>
      </c>
      <c r="F17" s="24" t="n">
        <v>0.03</v>
      </c>
      <c r="G17" s="24" t="n">
        <v>0.035</v>
      </c>
      <c r="H17" s="24" t="n">
        <v>0.04</v>
      </c>
      <c r="I17" s="24" t="n">
        <v>0.045</v>
      </c>
      <c r="J17" s="24" t="n">
        <v>0.05</v>
      </c>
    </row>
    <row r="18">
      <c r="A18" s="25">
        <f>'DCF - FCFF'!$E$22-0.02</f>
        <v/>
      </c>
      <c r="B18" s="13">
        <f>IF($A18-B$17&lt;0.01,NA(),('DCF - FCFF'!$B$22*SUMPRODUCT(POWER(1+'DCF - FCFF'!$D$22,{1,2,3,4,5})/POWER(1+$A18,{1,2,3,4,5}))+'DCF - FCFF'!$B$22*POWER(1+'DCF - FCFF'!$D$22,5)*(1+B$17)/($A18-B$17)/POWER(1+$A18,5)-'DCF - FCFF'!$O$22)/'DCF - FCFF'!$Q$22)</f>
        <v/>
      </c>
      <c r="C18" s="13">
        <f>IF($A18-C$17&lt;0.01,NA(),('DCF - FCFF'!$B$22*SUMPRODUCT(POWER(1+'DCF - FCFF'!$D$22,{1,2,3,4,5})/POWER(1+$A18,{1,2,3,4,5}))+'DCF - FCFF'!$B$22*POWER(1+'DCF - FCFF'!$D$22,5)*(1+C$17)/($A18-C$17)/POWER(1+$A18,5)-'DCF - FCFF'!$O$22)/'DCF - FCFF'!$Q$22)</f>
        <v/>
      </c>
      <c r="D18" s="13">
        <f>IF($A18-D$17&lt;0.01,NA(),('DCF - FCFF'!$B$22*SUMPRODUCT(POWER(1+'DCF - FCFF'!$D$22,{1,2,3,4,5})/POWER(1+$A18,{1,2,3,4,5}))+'DCF - FCFF'!$B$22*POWER(1+'DCF - FCFF'!$D$22,5)*(1+D$17)/($A18-D$17)/POWER(1+$A18,5)-'DCF - FCFF'!$O$22)/'DCF - FCFF'!$Q$22)</f>
        <v/>
      </c>
      <c r="E18" s="13">
        <f>IF($A18-E$17&lt;0.01,NA(),('DCF - FCFF'!$B$22*SUMPRODUCT(POWER(1+'DCF - FCFF'!$D$22,{1,2,3,4,5})/POWER(1+$A18,{1,2,3,4,5}))+'DCF - FCFF'!$B$22*POWER(1+'DCF - FCFF'!$D$22,5)*(1+E$17)/($A18-E$17)/POWER(1+$A18,5)-'DCF - FCFF'!$O$22)/'DCF - FCFF'!$Q$22)</f>
        <v/>
      </c>
      <c r="F18" s="13">
        <f>IF($A18-F$17&lt;0.01,NA(),('DCF - FCFF'!$B$22*SUMPRODUCT(POWER(1+'DCF - FCFF'!$D$22,{1,2,3,4,5})/POWER(1+$A18,{1,2,3,4,5}))+'DCF - FCFF'!$B$22*POWER(1+'DCF - FCFF'!$D$22,5)*(1+F$17)/($A18-F$17)/POWER(1+$A18,5)-'DCF - FCFF'!$O$22)/'DCF - FCFF'!$Q$22)</f>
        <v/>
      </c>
      <c r="G18" s="13">
        <f>IF($A18-G$17&lt;0.01,NA(),('DCF - FCFF'!$B$22*SUMPRODUCT(POWER(1+'DCF - FCFF'!$D$22,{1,2,3,4,5})/POWER(1+$A18,{1,2,3,4,5}))+'DCF - FCFF'!$B$22*POWER(1+'DCF - FCFF'!$D$22,5)*(1+G$17)/($A18-G$17)/POWER(1+$A18,5)-'DCF - FCFF'!$O$22)/'DCF - FCFF'!$Q$22)</f>
        <v/>
      </c>
      <c r="H18" s="13">
        <f>IF($A18-H$17&lt;0.01,NA(),('DCF - FCFF'!$B$22*SUMPRODUCT(POWER(1+'DCF - FCFF'!$D$22,{1,2,3,4,5})/POWER(1+$A18,{1,2,3,4,5}))+'DCF - FCFF'!$B$22*POWER(1+'DCF - FCFF'!$D$22,5)*(1+H$17)/($A18-H$17)/POWER(1+$A18,5)-'DCF - FCFF'!$O$22)/'DCF - FCFF'!$Q$22)</f>
        <v/>
      </c>
      <c r="I18" s="13">
        <f>IF($A18-I$17&lt;0.01,NA(),('DCF - FCFF'!$B$22*SUMPRODUCT(POWER(1+'DCF - FCFF'!$D$22,{1,2,3,4,5})/POWER(1+$A18,{1,2,3,4,5}))+'DCF - FCFF'!$B$22*POWER(1+'DCF - FCFF'!$D$22,5)*(1+I$17)/($A18-I$17)/POWER(1+$A18,5)-'DCF - FCFF'!$O$22)/'DCF - FCFF'!$Q$22)</f>
        <v/>
      </c>
      <c r="J18" s="13">
        <f>IF($A18-J$17&lt;0.01,NA(),('DCF - FCFF'!$B$22*SUMPRODUCT(POWER(1+'DCF - FCFF'!$D$22,{1,2,3,4,5})/POWER(1+$A18,{1,2,3,4,5}))+'DCF - FCFF'!$B$22*POWER(1+'DCF - FCFF'!$D$22,5)*(1+J$17)/($A18-J$17)/POWER(1+$A18,5)-'DCF - FCFF'!$O$22)/'DCF - FCFF'!$Q$22)</f>
        <v/>
      </c>
    </row>
    <row r="19">
      <c r="A19" s="25">
        <f>'DCF - FCFF'!$E$22-0.015</f>
        <v/>
      </c>
      <c r="B19" s="13">
        <f>IF($A19-B$17&lt;0.01,NA(),('DCF - FCFF'!$B$22*SUMPRODUCT(POWER(1+'DCF - FCFF'!$D$22,{1,2,3,4,5})/POWER(1+$A19,{1,2,3,4,5}))+'DCF - FCFF'!$B$22*POWER(1+'DCF - FCFF'!$D$22,5)*(1+B$17)/($A19-B$17)/POWER(1+$A19,5)-'DCF - FCFF'!$O$22)/'DCF - FCFF'!$Q$22)</f>
        <v/>
      </c>
      <c r="C19" s="13">
        <f>IF($A19-C$17&lt;0.01,NA(),('DCF - FCFF'!$B$22*SUMPRODUCT(POWER(1+'DCF - FCFF'!$D$22,{1,2,3,4,5})/POWER(1+$A19,{1,2,3,4,5}))+'DCF - FCFF'!$B$22*POWER(1+'DCF - FCFF'!$D$22,5)*(1+C$17)/($A19-C$17)/POWER(1+$A19,5)-'DCF - FCFF'!$O$22)/'DCF - FCFF'!$Q$22)</f>
        <v/>
      </c>
      <c r="D19" s="13">
        <f>IF($A19-D$17&lt;0.01,NA(),('DCF - FCFF'!$B$22*SUMPRODUCT(POWER(1+'DCF - FCFF'!$D$22,{1,2,3,4,5})/POWER(1+$A19,{1,2,3,4,5}))+'DCF - FCFF'!$B$22*POWER(1+'DCF - FCFF'!$D$22,5)*(1+D$17)/($A19-D$17)/POWER(1+$A19,5)-'DCF - FCFF'!$O$22)/'DCF - FCFF'!$Q$22)</f>
        <v/>
      </c>
      <c r="E19" s="13">
        <f>IF($A19-E$17&lt;0.01,NA(),('DCF - FCFF'!$B$22*SUMPRODUCT(POWER(1+'DCF - FCFF'!$D$22,{1,2,3,4,5})/POWER(1+$A19,{1,2,3,4,5}))+'DCF - FCFF'!$B$22*POWER(1+'DCF - FCFF'!$D$22,5)*(1+E$17)/($A19-E$17)/POWER(1+$A19,5)-'DCF - FCFF'!$O$22)/'DCF - FCFF'!$Q$22)</f>
        <v/>
      </c>
      <c r="F19" s="13">
        <f>IF($A19-F$17&lt;0.01,NA(),('DCF - FCFF'!$B$22*SUMPRODUCT(POWER(1+'DCF - FCFF'!$D$22,{1,2,3,4,5})/POWER(1+$A19,{1,2,3,4,5}))+'DCF - FCFF'!$B$22*POWER(1+'DCF - FCFF'!$D$22,5)*(1+F$17)/($A19-F$17)/POWER(1+$A19,5)-'DCF - FCFF'!$O$22)/'DCF - FCFF'!$Q$22)</f>
        <v/>
      </c>
      <c r="G19" s="13">
        <f>IF($A19-G$17&lt;0.01,NA(),('DCF - FCFF'!$B$22*SUMPRODUCT(POWER(1+'DCF - FCFF'!$D$22,{1,2,3,4,5})/POWER(1+$A19,{1,2,3,4,5}))+'DCF - FCFF'!$B$22*POWER(1+'DCF - FCFF'!$D$22,5)*(1+G$17)/($A19-G$17)/POWER(1+$A19,5)-'DCF - FCFF'!$O$22)/'DCF - FCFF'!$Q$22)</f>
        <v/>
      </c>
      <c r="H19" s="13">
        <f>IF($A19-H$17&lt;0.01,NA(),('DCF - FCFF'!$B$22*SUMPRODUCT(POWER(1+'DCF - FCFF'!$D$22,{1,2,3,4,5})/POWER(1+$A19,{1,2,3,4,5}))+'DCF - FCFF'!$B$22*POWER(1+'DCF - FCFF'!$D$22,5)*(1+H$17)/($A19-H$17)/POWER(1+$A19,5)-'DCF - FCFF'!$O$22)/'DCF - FCFF'!$Q$22)</f>
        <v/>
      </c>
      <c r="I19" s="13">
        <f>IF($A19-I$17&lt;0.01,NA(),('DCF - FCFF'!$B$22*SUMPRODUCT(POWER(1+'DCF - FCFF'!$D$22,{1,2,3,4,5})/POWER(1+$A19,{1,2,3,4,5}))+'DCF - FCFF'!$B$22*POWER(1+'DCF - FCFF'!$D$22,5)*(1+I$17)/($A19-I$17)/POWER(1+$A19,5)-'DCF - FCFF'!$O$22)/'DCF - FCFF'!$Q$22)</f>
        <v/>
      </c>
      <c r="J19" s="13">
        <f>IF($A19-J$17&lt;0.01,NA(),('DCF - FCFF'!$B$22*SUMPRODUCT(POWER(1+'DCF - FCFF'!$D$22,{1,2,3,4,5})/POWER(1+$A19,{1,2,3,4,5}))+'DCF - FCFF'!$B$22*POWER(1+'DCF - FCFF'!$D$22,5)*(1+J$17)/($A19-J$17)/POWER(1+$A19,5)-'DCF - FCFF'!$O$22)/'DCF - FCFF'!$Q$22)</f>
        <v/>
      </c>
    </row>
    <row r="20">
      <c r="A20" s="25">
        <f>'DCF - FCFF'!$E$22-0.01</f>
        <v/>
      </c>
      <c r="B20" s="13">
        <f>IF($A20-B$17&lt;0.01,NA(),('DCF - FCFF'!$B$22*SUMPRODUCT(POWER(1+'DCF - FCFF'!$D$22,{1,2,3,4,5})/POWER(1+$A20,{1,2,3,4,5}))+'DCF - FCFF'!$B$22*POWER(1+'DCF - FCFF'!$D$22,5)*(1+B$17)/($A20-B$17)/POWER(1+$A20,5)-'DCF - FCFF'!$O$22)/'DCF - FCFF'!$Q$22)</f>
        <v/>
      </c>
      <c r="C20" s="13">
        <f>IF($A20-C$17&lt;0.01,NA(),('DCF - FCFF'!$B$22*SUMPRODUCT(POWER(1+'DCF - FCFF'!$D$22,{1,2,3,4,5})/POWER(1+$A20,{1,2,3,4,5}))+'DCF - FCFF'!$B$22*POWER(1+'DCF - FCFF'!$D$22,5)*(1+C$17)/($A20-C$17)/POWER(1+$A20,5)-'DCF - FCFF'!$O$22)/'DCF - FCFF'!$Q$22)</f>
        <v/>
      </c>
      <c r="D20" s="13">
        <f>IF($A20-D$17&lt;0.01,NA(),('DCF - FCFF'!$B$22*SUMPRODUCT(POWER(1+'DCF - FCFF'!$D$22,{1,2,3,4,5})/POWER(1+$A20,{1,2,3,4,5}))+'DCF - FCFF'!$B$22*POWER(1+'DCF - FCFF'!$D$22,5)*(1+D$17)/($A20-D$17)/POWER(1+$A20,5)-'DCF - FCFF'!$O$22)/'DCF - FCFF'!$Q$22)</f>
        <v/>
      </c>
      <c r="E20" s="13">
        <f>IF($A20-E$17&lt;0.01,NA(),('DCF - FCFF'!$B$22*SUMPRODUCT(POWER(1+'DCF - FCFF'!$D$22,{1,2,3,4,5})/POWER(1+$A20,{1,2,3,4,5}))+'DCF - FCFF'!$B$22*POWER(1+'DCF - FCFF'!$D$22,5)*(1+E$17)/($A20-E$17)/POWER(1+$A20,5)-'DCF - FCFF'!$O$22)/'DCF - FCFF'!$Q$22)</f>
        <v/>
      </c>
      <c r="F20" s="13">
        <f>IF($A20-F$17&lt;0.01,NA(),('DCF - FCFF'!$B$22*SUMPRODUCT(POWER(1+'DCF - FCFF'!$D$22,{1,2,3,4,5})/POWER(1+$A20,{1,2,3,4,5}))+'DCF - FCFF'!$B$22*POWER(1+'DCF - FCFF'!$D$22,5)*(1+F$17)/($A20-F$17)/POWER(1+$A20,5)-'DCF - FCFF'!$O$22)/'DCF - FCFF'!$Q$22)</f>
        <v/>
      </c>
      <c r="G20" s="13">
        <f>IF($A20-G$17&lt;0.01,NA(),('DCF - FCFF'!$B$22*SUMPRODUCT(POWER(1+'DCF - FCFF'!$D$22,{1,2,3,4,5})/POWER(1+$A20,{1,2,3,4,5}))+'DCF - FCFF'!$B$22*POWER(1+'DCF - FCFF'!$D$22,5)*(1+G$17)/($A20-G$17)/POWER(1+$A20,5)-'DCF - FCFF'!$O$22)/'DCF - FCFF'!$Q$22)</f>
        <v/>
      </c>
      <c r="H20" s="13">
        <f>IF($A20-H$17&lt;0.01,NA(),('DCF - FCFF'!$B$22*SUMPRODUCT(POWER(1+'DCF - FCFF'!$D$22,{1,2,3,4,5})/POWER(1+$A20,{1,2,3,4,5}))+'DCF - FCFF'!$B$22*POWER(1+'DCF - FCFF'!$D$22,5)*(1+H$17)/($A20-H$17)/POWER(1+$A20,5)-'DCF - FCFF'!$O$22)/'DCF - FCFF'!$Q$22)</f>
        <v/>
      </c>
      <c r="I20" s="13">
        <f>IF($A20-I$17&lt;0.01,NA(),('DCF - FCFF'!$B$22*SUMPRODUCT(POWER(1+'DCF - FCFF'!$D$22,{1,2,3,4,5})/POWER(1+$A20,{1,2,3,4,5}))+'DCF - FCFF'!$B$22*POWER(1+'DCF - FCFF'!$D$22,5)*(1+I$17)/($A20-I$17)/POWER(1+$A20,5)-'DCF - FCFF'!$O$22)/'DCF - FCFF'!$Q$22)</f>
        <v/>
      </c>
      <c r="J20" s="13">
        <f>IF($A20-J$17&lt;0.01,NA(),('DCF - FCFF'!$B$22*SUMPRODUCT(POWER(1+'DCF - FCFF'!$D$22,{1,2,3,4,5})/POWER(1+$A20,{1,2,3,4,5}))+'DCF - FCFF'!$B$22*POWER(1+'DCF - FCFF'!$D$22,5)*(1+J$17)/($A20-J$17)/POWER(1+$A20,5)-'DCF - FCFF'!$O$22)/'DCF - FCFF'!$Q$22)</f>
        <v/>
      </c>
    </row>
    <row r="21">
      <c r="A21" s="25">
        <f>'DCF - FCFF'!$E$22-0.005</f>
        <v/>
      </c>
      <c r="B21" s="13">
        <f>IF($A21-B$17&lt;0.01,NA(),('DCF - FCFF'!$B$22*SUMPRODUCT(POWER(1+'DCF - FCFF'!$D$22,{1,2,3,4,5})/POWER(1+$A21,{1,2,3,4,5}))+'DCF - FCFF'!$B$22*POWER(1+'DCF - FCFF'!$D$22,5)*(1+B$17)/($A21-B$17)/POWER(1+$A21,5)-'DCF - FCFF'!$O$22)/'DCF - FCFF'!$Q$22)</f>
        <v/>
      </c>
      <c r="C21" s="13">
        <f>IF($A21-C$17&lt;0.01,NA(),('DCF - FCFF'!$B$22*SUMPRODUCT(POWER(1+'DCF - FCFF'!$D$22,{1,2,3,4,5})/POWER(1+$A21,{1,2,3,4,5}))+'DCF - FCFF'!$B$22*POWER(1+'DCF - FCFF'!$D$22,5)*(1+C$17)/($A21-C$17)/POWER(1+$A21,5)-'DCF - FCFF'!$O$22)/'DCF - FCFF'!$Q$22)</f>
        <v/>
      </c>
      <c r="D21" s="13">
        <f>IF($A21-D$17&lt;0.01,NA(),('DCF - FCFF'!$B$22*SUMPRODUCT(POWER(1+'DCF - FCFF'!$D$22,{1,2,3,4,5})/POWER(1+$A21,{1,2,3,4,5}))+'DCF - FCFF'!$B$22*POWER(1+'DCF - FCFF'!$D$22,5)*(1+D$17)/($A21-D$17)/POWER(1+$A21,5)-'DCF - FCFF'!$O$22)/'DCF - FCFF'!$Q$22)</f>
        <v/>
      </c>
      <c r="E21" s="13">
        <f>IF($A21-E$17&lt;0.01,NA(),('DCF - FCFF'!$B$22*SUMPRODUCT(POWER(1+'DCF - FCFF'!$D$22,{1,2,3,4,5})/POWER(1+$A21,{1,2,3,4,5}))+'DCF - FCFF'!$B$22*POWER(1+'DCF - FCFF'!$D$22,5)*(1+E$17)/($A21-E$17)/POWER(1+$A21,5)-'DCF - FCFF'!$O$22)/'DCF - FCFF'!$Q$22)</f>
        <v/>
      </c>
      <c r="F21" s="13">
        <f>IF($A21-F$17&lt;0.01,NA(),('DCF - FCFF'!$B$22*SUMPRODUCT(POWER(1+'DCF - FCFF'!$D$22,{1,2,3,4,5})/POWER(1+$A21,{1,2,3,4,5}))+'DCF - FCFF'!$B$22*POWER(1+'DCF - FCFF'!$D$22,5)*(1+F$17)/($A21-F$17)/POWER(1+$A21,5)-'DCF - FCFF'!$O$22)/'DCF - FCFF'!$Q$22)</f>
        <v/>
      </c>
      <c r="G21" s="13">
        <f>IF($A21-G$17&lt;0.01,NA(),('DCF - FCFF'!$B$22*SUMPRODUCT(POWER(1+'DCF - FCFF'!$D$22,{1,2,3,4,5})/POWER(1+$A21,{1,2,3,4,5}))+'DCF - FCFF'!$B$22*POWER(1+'DCF - FCFF'!$D$22,5)*(1+G$17)/($A21-G$17)/POWER(1+$A21,5)-'DCF - FCFF'!$O$22)/'DCF - FCFF'!$Q$22)</f>
        <v/>
      </c>
      <c r="H21" s="13">
        <f>IF($A21-H$17&lt;0.01,NA(),('DCF - FCFF'!$B$22*SUMPRODUCT(POWER(1+'DCF - FCFF'!$D$22,{1,2,3,4,5})/POWER(1+$A21,{1,2,3,4,5}))+'DCF - FCFF'!$B$22*POWER(1+'DCF - FCFF'!$D$22,5)*(1+H$17)/($A21-H$17)/POWER(1+$A21,5)-'DCF - FCFF'!$O$22)/'DCF - FCFF'!$Q$22)</f>
        <v/>
      </c>
      <c r="I21" s="13">
        <f>IF($A21-I$17&lt;0.01,NA(),('DCF - FCFF'!$B$22*SUMPRODUCT(POWER(1+'DCF - FCFF'!$D$22,{1,2,3,4,5})/POWER(1+$A21,{1,2,3,4,5}))+'DCF - FCFF'!$B$22*POWER(1+'DCF - FCFF'!$D$22,5)*(1+I$17)/($A21-I$17)/POWER(1+$A21,5)-'DCF - FCFF'!$O$22)/'DCF - FCFF'!$Q$22)</f>
        <v/>
      </c>
      <c r="J21" s="13">
        <f>IF($A21-J$17&lt;0.01,NA(),('DCF - FCFF'!$B$22*SUMPRODUCT(POWER(1+'DCF - FCFF'!$D$22,{1,2,3,4,5})/POWER(1+$A21,{1,2,3,4,5}))+'DCF - FCFF'!$B$22*POWER(1+'DCF - FCFF'!$D$22,5)*(1+J$17)/($A21-J$17)/POWER(1+$A21,5)-'DCF - FCFF'!$O$22)/'DCF - FCFF'!$Q$22)</f>
        <v/>
      </c>
    </row>
    <row r="22">
      <c r="A22" s="25">
        <f>'DCF - FCFF'!$E$22+0.0</f>
        <v/>
      </c>
      <c r="B22" s="13">
        <f>IF($A22-B$17&lt;0.01,NA(),('DCF - FCFF'!$B$22*SUMPRODUCT(POWER(1+'DCF - FCFF'!$D$22,{1,2,3,4,5})/POWER(1+$A22,{1,2,3,4,5}))+'DCF - FCFF'!$B$22*POWER(1+'DCF - FCFF'!$D$22,5)*(1+B$17)/($A22-B$17)/POWER(1+$A22,5)-'DCF - FCFF'!$O$22)/'DCF - FCFF'!$Q$22)</f>
        <v/>
      </c>
      <c r="C22" s="13">
        <f>IF($A22-C$17&lt;0.01,NA(),('DCF - FCFF'!$B$22*SUMPRODUCT(POWER(1+'DCF - FCFF'!$D$22,{1,2,3,4,5})/POWER(1+$A22,{1,2,3,4,5}))+'DCF - FCFF'!$B$22*POWER(1+'DCF - FCFF'!$D$22,5)*(1+C$17)/($A22-C$17)/POWER(1+$A22,5)-'DCF - FCFF'!$O$22)/'DCF - FCFF'!$Q$22)</f>
        <v/>
      </c>
      <c r="D22" s="13">
        <f>IF($A22-D$17&lt;0.01,NA(),('DCF - FCFF'!$B$22*SUMPRODUCT(POWER(1+'DCF - FCFF'!$D$22,{1,2,3,4,5})/POWER(1+$A22,{1,2,3,4,5}))+'DCF - FCFF'!$B$22*POWER(1+'DCF - FCFF'!$D$22,5)*(1+D$17)/($A22-D$17)/POWER(1+$A22,5)-'DCF - FCFF'!$O$22)/'DCF - FCFF'!$Q$22)</f>
        <v/>
      </c>
      <c r="E22" s="13">
        <f>IF($A22-E$17&lt;0.01,NA(),('DCF - FCFF'!$B$22*SUMPRODUCT(POWER(1+'DCF - FCFF'!$D$22,{1,2,3,4,5})/POWER(1+$A22,{1,2,3,4,5}))+'DCF - FCFF'!$B$22*POWER(1+'DCF - FCFF'!$D$22,5)*(1+E$17)/($A22-E$17)/POWER(1+$A22,5)-'DCF - FCFF'!$O$22)/'DCF - FCFF'!$Q$22)</f>
        <v/>
      </c>
      <c r="F22" s="13">
        <f>IF($A22-F$17&lt;0.01,NA(),('DCF - FCFF'!$B$22*SUMPRODUCT(POWER(1+'DCF - FCFF'!$D$22,{1,2,3,4,5})/POWER(1+$A22,{1,2,3,4,5}))+'DCF - FCFF'!$B$22*POWER(1+'DCF - FCFF'!$D$22,5)*(1+F$17)/($A22-F$17)/POWER(1+$A22,5)-'DCF - FCFF'!$O$22)/'DCF - FCFF'!$Q$22)</f>
        <v/>
      </c>
      <c r="G22" s="13">
        <f>IF($A22-G$17&lt;0.01,NA(),('DCF - FCFF'!$B$22*SUMPRODUCT(POWER(1+'DCF - FCFF'!$D$22,{1,2,3,4,5})/POWER(1+$A22,{1,2,3,4,5}))+'DCF - FCFF'!$B$22*POWER(1+'DCF - FCFF'!$D$22,5)*(1+G$17)/($A22-G$17)/POWER(1+$A22,5)-'DCF - FCFF'!$O$22)/'DCF - FCFF'!$Q$22)</f>
        <v/>
      </c>
      <c r="H22" s="34">
        <f>IF($A22-H$17&lt;0.01,NA(),('DCF - FCFF'!$B$22*SUMPRODUCT(POWER(1+'DCF - FCFF'!$D$22,{1,2,3,4,5})/POWER(1+$A22,{1,2,3,4,5}))+'DCF - FCFF'!$B$22*POWER(1+'DCF - FCFF'!$D$22,5)*(1+H$17)/($A22-H$17)/POWER(1+$A22,5)-'DCF - FCFF'!$O$22)/'DCF - FCFF'!$Q$22)</f>
        <v/>
      </c>
      <c r="I22" s="13">
        <f>IF($A22-I$17&lt;0.01,NA(),('DCF - FCFF'!$B$22*SUMPRODUCT(POWER(1+'DCF - FCFF'!$D$22,{1,2,3,4,5})/POWER(1+$A22,{1,2,3,4,5}))+'DCF - FCFF'!$B$22*POWER(1+'DCF - FCFF'!$D$22,5)*(1+I$17)/($A22-I$17)/POWER(1+$A22,5)-'DCF - FCFF'!$O$22)/'DCF - FCFF'!$Q$22)</f>
        <v/>
      </c>
      <c r="J22" s="13">
        <f>IF($A22-J$17&lt;0.01,NA(),('DCF - FCFF'!$B$22*SUMPRODUCT(POWER(1+'DCF - FCFF'!$D$22,{1,2,3,4,5})/POWER(1+$A22,{1,2,3,4,5}))+'DCF - FCFF'!$B$22*POWER(1+'DCF - FCFF'!$D$22,5)*(1+J$17)/($A22-J$17)/POWER(1+$A22,5)-'DCF - FCFF'!$O$22)/'DCF - FCFF'!$Q$22)</f>
        <v/>
      </c>
    </row>
    <row r="23">
      <c r="A23" s="25">
        <f>'DCF - FCFF'!$E$22+0.005</f>
        <v/>
      </c>
      <c r="B23" s="13">
        <f>IF($A23-B$17&lt;0.01,NA(),('DCF - FCFF'!$B$22*SUMPRODUCT(POWER(1+'DCF - FCFF'!$D$22,{1,2,3,4,5})/POWER(1+$A23,{1,2,3,4,5}))+'DCF - FCFF'!$B$22*POWER(1+'DCF - FCFF'!$D$22,5)*(1+B$17)/($A23-B$17)/POWER(1+$A23,5)-'DCF - FCFF'!$O$22)/'DCF - FCFF'!$Q$22)</f>
        <v/>
      </c>
      <c r="C23" s="13">
        <f>IF($A23-C$17&lt;0.01,NA(),('DCF - FCFF'!$B$22*SUMPRODUCT(POWER(1+'DCF - FCFF'!$D$22,{1,2,3,4,5})/POWER(1+$A23,{1,2,3,4,5}))+'DCF - FCFF'!$B$22*POWER(1+'DCF - FCFF'!$D$22,5)*(1+C$17)/($A23-C$17)/POWER(1+$A23,5)-'DCF - FCFF'!$O$22)/'DCF - FCFF'!$Q$22)</f>
        <v/>
      </c>
      <c r="D23" s="13">
        <f>IF($A23-D$17&lt;0.01,NA(),('DCF - FCFF'!$B$22*SUMPRODUCT(POWER(1+'DCF - FCFF'!$D$22,{1,2,3,4,5})/POWER(1+$A23,{1,2,3,4,5}))+'DCF - FCFF'!$B$22*POWER(1+'DCF - FCFF'!$D$22,5)*(1+D$17)/($A23-D$17)/POWER(1+$A23,5)-'DCF - FCFF'!$O$22)/'DCF - FCFF'!$Q$22)</f>
        <v/>
      </c>
      <c r="E23" s="13">
        <f>IF($A23-E$17&lt;0.01,NA(),('DCF - FCFF'!$B$22*SUMPRODUCT(POWER(1+'DCF - FCFF'!$D$22,{1,2,3,4,5})/POWER(1+$A23,{1,2,3,4,5}))+'DCF - FCFF'!$B$22*POWER(1+'DCF - FCFF'!$D$22,5)*(1+E$17)/($A23-E$17)/POWER(1+$A23,5)-'DCF - FCFF'!$O$22)/'DCF - FCFF'!$Q$22)</f>
        <v/>
      </c>
      <c r="F23" s="13">
        <f>IF($A23-F$17&lt;0.01,NA(),('DCF - FCFF'!$B$22*SUMPRODUCT(POWER(1+'DCF - FCFF'!$D$22,{1,2,3,4,5})/POWER(1+$A23,{1,2,3,4,5}))+'DCF - FCFF'!$B$22*POWER(1+'DCF - FCFF'!$D$22,5)*(1+F$17)/($A23-F$17)/POWER(1+$A23,5)-'DCF - FCFF'!$O$22)/'DCF - FCFF'!$Q$22)</f>
        <v/>
      </c>
      <c r="G23" s="13">
        <f>IF($A23-G$17&lt;0.01,NA(),('DCF - FCFF'!$B$22*SUMPRODUCT(POWER(1+'DCF - FCFF'!$D$22,{1,2,3,4,5})/POWER(1+$A23,{1,2,3,4,5}))+'DCF - FCFF'!$B$22*POWER(1+'DCF - FCFF'!$D$22,5)*(1+G$17)/($A23-G$17)/POWER(1+$A23,5)-'DCF - FCFF'!$O$22)/'DCF - FCFF'!$Q$22)</f>
        <v/>
      </c>
      <c r="H23" s="13">
        <f>IF($A23-H$17&lt;0.01,NA(),('DCF - FCFF'!$B$22*SUMPRODUCT(POWER(1+'DCF - FCFF'!$D$22,{1,2,3,4,5})/POWER(1+$A23,{1,2,3,4,5}))+'DCF - FCFF'!$B$22*POWER(1+'DCF - FCFF'!$D$22,5)*(1+H$17)/($A23-H$17)/POWER(1+$A23,5)-'DCF - FCFF'!$O$22)/'DCF - FCFF'!$Q$22)</f>
        <v/>
      </c>
      <c r="I23" s="13">
        <f>IF($A23-I$17&lt;0.01,NA(),('DCF - FCFF'!$B$22*SUMPRODUCT(POWER(1+'DCF - FCFF'!$D$22,{1,2,3,4,5})/POWER(1+$A23,{1,2,3,4,5}))+'DCF - FCFF'!$B$22*POWER(1+'DCF - FCFF'!$D$22,5)*(1+I$17)/($A23-I$17)/POWER(1+$A23,5)-'DCF - FCFF'!$O$22)/'DCF - FCFF'!$Q$22)</f>
        <v/>
      </c>
      <c r="J23" s="13">
        <f>IF($A23-J$17&lt;0.01,NA(),('DCF - FCFF'!$B$22*SUMPRODUCT(POWER(1+'DCF - FCFF'!$D$22,{1,2,3,4,5})/POWER(1+$A23,{1,2,3,4,5}))+'DCF - FCFF'!$B$22*POWER(1+'DCF - FCFF'!$D$22,5)*(1+J$17)/($A23-J$17)/POWER(1+$A23,5)-'DCF - FCFF'!$O$22)/'DCF - FCFF'!$Q$22)</f>
        <v/>
      </c>
    </row>
    <row r="24">
      <c r="A24" s="25">
        <f>'DCF - FCFF'!$E$22+0.01</f>
        <v/>
      </c>
      <c r="B24" s="13">
        <f>IF($A24-B$17&lt;0.01,NA(),('DCF - FCFF'!$B$22*SUMPRODUCT(POWER(1+'DCF - FCFF'!$D$22,{1,2,3,4,5})/POWER(1+$A24,{1,2,3,4,5}))+'DCF - FCFF'!$B$22*POWER(1+'DCF - FCFF'!$D$22,5)*(1+B$17)/($A24-B$17)/POWER(1+$A24,5)-'DCF - FCFF'!$O$22)/'DCF - FCFF'!$Q$22)</f>
        <v/>
      </c>
      <c r="C24" s="13">
        <f>IF($A24-C$17&lt;0.01,NA(),('DCF - FCFF'!$B$22*SUMPRODUCT(POWER(1+'DCF - FCFF'!$D$22,{1,2,3,4,5})/POWER(1+$A24,{1,2,3,4,5}))+'DCF - FCFF'!$B$22*POWER(1+'DCF - FCFF'!$D$22,5)*(1+C$17)/($A24-C$17)/POWER(1+$A24,5)-'DCF - FCFF'!$O$22)/'DCF - FCFF'!$Q$22)</f>
        <v/>
      </c>
      <c r="D24" s="13">
        <f>IF($A24-D$17&lt;0.01,NA(),('DCF - FCFF'!$B$22*SUMPRODUCT(POWER(1+'DCF - FCFF'!$D$22,{1,2,3,4,5})/POWER(1+$A24,{1,2,3,4,5}))+'DCF - FCFF'!$B$22*POWER(1+'DCF - FCFF'!$D$22,5)*(1+D$17)/($A24-D$17)/POWER(1+$A24,5)-'DCF - FCFF'!$O$22)/'DCF - FCFF'!$Q$22)</f>
        <v/>
      </c>
      <c r="E24" s="13">
        <f>IF($A24-E$17&lt;0.01,NA(),('DCF - FCFF'!$B$22*SUMPRODUCT(POWER(1+'DCF - FCFF'!$D$22,{1,2,3,4,5})/POWER(1+$A24,{1,2,3,4,5}))+'DCF - FCFF'!$B$22*POWER(1+'DCF - FCFF'!$D$22,5)*(1+E$17)/($A24-E$17)/POWER(1+$A24,5)-'DCF - FCFF'!$O$22)/'DCF - FCFF'!$Q$22)</f>
        <v/>
      </c>
      <c r="F24" s="13">
        <f>IF($A24-F$17&lt;0.01,NA(),('DCF - FCFF'!$B$22*SUMPRODUCT(POWER(1+'DCF - FCFF'!$D$22,{1,2,3,4,5})/POWER(1+$A24,{1,2,3,4,5}))+'DCF - FCFF'!$B$22*POWER(1+'DCF - FCFF'!$D$22,5)*(1+F$17)/($A24-F$17)/POWER(1+$A24,5)-'DCF - FCFF'!$O$22)/'DCF - FCFF'!$Q$22)</f>
        <v/>
      </c>
      <c r="G24" s="13">
        <f>IF($A24-G$17&lt;0.01,NA(),('DCF - FCFF'!$B$22*SUMPRODUCT(POWER(1+'DCF - FCFF'!$D$22,{1,2,3,4,5})/POWER(1+$A24,{1,2,3,4,5}))+'DCF - FCFF'!$B$22*POWER(1+'DCF - FCFF'!$D$22,5)*(1+G$17)/($A24-G$17)/POWER(1+$A24,5)-'DCF - FCFF'!$O$22)/'DCF - FCFF'!$Q$22)</f>
        <v/>
      </c>
      <c r="H24" s="13">
        <f>IF($A24-H$17&lt;0.01,NA(),('DCF - FCFF'!$B$22*SUMPRODUCT(POWER(1+'DCF - FCFF'!$D$22,{1,2,3,4,5})/POWER(1+$A24,{1,2,3,4,5}))+'DCF - FCFF'!$B$22*POWER(1+'DCF - FCFF'!$D$22,5)*(1+H$17)/($A24-H$17)/POWER(1+$A24,5)-'DCF - FCFF'!$O$22)/'DCF - FCFF'!$Q$22)</f>
        <v/>
      </c>
      <c r="I24" s="13">
        <f>IF($A24-I$17&lt;0.01,NA(),('DCF - FCFF'!$B$22*SUMPRODUCT(POWER(1+'DCF - FCFF'!$D$22,{1,2,3,4,5})/POWER(1+$A24,{1,2,3,4,5}))+'DCF - FCFF'!$B$22*POWER(1+'DCF - FCFF'!$D$22,5)*(1+I$17)/($A24-I$17)/POWER(1+$A24,5)-'DCF - FCFF'!$O$22)/'DCF - FCFF'!$Q$22)</f>
        <v/>
      </c>
      <c r="J24" s="13">
        <f>IF($A24-J$17&lt;0.01,NA(),('DCF - FCFF'!$B$22*SUMPRODUCT(POWER(1+'DCF - FCFF'!$D$22,{1,2,3,4,5})/POWER(1+$A24,{1,2,3,4,5}))+'DCF - FCFF'!$B$22*POWER(1+'DCF - FCFF'!$D$22,5)*(1+J$17)/($A24-J$17)/POWER(1+$A24,5)-'DCF - FCFF'!$O$22)/'DCF - FCFF'!$Q$22)</f>
        <v/>
      </c>
    </row>
    <row r="25">
      <c r="A25" s="25">
        <f>'DCF - FCFF'!$E$22+0.015</f>
        <v/>
      </c>
      <c r="B25" s="13">
        <f>IF($A25-B$17&lt;0.01,NA(),('DCF - FCFF'!$B$22*SUMPRODUCT(POWER(1+'DCF - FCFF'!$D$22,{1,2,3,4,5})/POWER(1+$A25,{1,2,3,4,5}))+'DCF - FCFF'!$B$22*POWER(1+'DCF - FCFF'!$D$22,5)*(1+B$17)/($A25-B$17)/POWER(1+$A25,5)-'DCF - FCFF'!$O$22)/'DCF - FCFF'!$Q$22)</f>
        <v/>
      </c>
      <c r="C25" s="13">
        <f>IF($A25-C$17&lt;0.01,NA(),('DCF - FCFF'!$B$22*SUMPRODUCT(POWER(1+'DCF - FCFF'!$D$22,{1,2,3,4,5})/POWER(1+$A25,{1,2,3,4,5}))+'DCF - FCFF'!$B$22*POWER(1+'DCF - FCFF'!$D$22,5)*(1+C$17)/($A25-C$17)/POWER(1+$A25,5)-'DCF - FCFF'!$O$22)/'DCF - FCFF'!$Q$22)</f>
        <v/>
      </c>
      <c r="D25" s="13">
        <f>IF($A25-D$17&lt;0.01,NA(),('DCF - FCFF'!$B$22*SUMPRODUCT(POWER(1+'DCF - FCFF'!$D$22,{1,2,3,4,5})/POWER(1+$A25,{1,2,3,4,5}))+'DCF - FCFF'!$B$22*POWER(1+'DCF - FCFF'!$D$22,5)*(1+D$17)/($A25-D$17)/POWER(1+$A25,5)-'DCF - FCFF'!$O$22)/'DCF - FCFF'!$Q$22)</f>
        <v/>
      </c>
      <c r="E25" s="13">
        <f>IF($A25-E$17&lt;0.01,NA(),('DCF - FCFF'!$B$22*SUMPRODUCT(POWER(1+'DCF - FCFF'!$D$22,{1,2,3,4,5})/POWER(1+$A25,{1,2,3,4,5}))+'DCF - FCFF'!$B$22*POWER(1+'DCF - FCFF'!$D$22,5)*(1+E$17)/($A25-E$17)/POWER(1+$A25,5)-'DCF - FCFF'!$O$22)/'DCF - FCFF'!$Q$22)</f>
        <v/>
      </c>
      <c r="F25" s="13">
        <f>IF($A25-F$17&lt;0.01,NA(),('DCF - FCFF'!$B$22*SUMPRODUCT(POWER(1+'DCF - FCFF'!$D$22,{1,2,3,4,5})/POWER(1+$A25,{1,2,3,4,5}))+'DCF - FCFF'!$B$22*POWER(1+'DCF - FCFF'!$D$22,5)*(1+F$17)/($A25-F$17)/POWER(1+$A25,5)-'DCF - FCFF'!$O$22)/'DCF - FCFF'!$Q$22)</f>
        <v/>
      </c>
      <c r="G25" s="13">
        <f>IF($A25-G$17&lt;0.01,NA(),('DCF - FCFF'!$B$22*SUMPRODUCT(POWER(1+'DCF - FCFF'!$D$22,{1,2,3,4,5})/POWER(1+$A25,{1,2,3,4,5}))+'DCF - FCFF'!$B$22*POWER(1+'DCF - FCFF'!$D$22,5)*(1+G$17)/($A25-G$17)/POWER(1+$A25,5)-'DCF - FCFF'!$O$22)/'DCF - FCFF'!$Q$22)</f>
        <v/>
      </c>
      <c r="H25" s="13">
        <f>IF($A25-H$17&lt;0.01,NA(),('DCF - FCFF'!$B$22*SUMPRODUCT(POWER(1+'DCF - FCFF'!$D$22,{1,2,3,4,5})/POWER(1+$A25,{1,2,3,4,5}))+'DCF - FCFF'!$B$22*POWER(1+'DCF - FCFF'!$D$22,5)*(1+H$17)/($A25-H$17)/POWER(1+$A25,5)-'DCF - FCFF'!$O$22)/'DCF - FCFF'!$Q$22)</f>
        <v/>
      </c>
      <c r="I25" s="13">
        <f>IF($A25-I$17&lt;0.01,NA(),('DCF - FCFF'!$B$22*SUMPRODUCT(POWER(1+'DCF - FCFF'!$D$22,{1,2,3,4,5})/POWER(1+$A25,{1,2,3,4,5}))+'DCF - FCFF'!$B$22*POWER(1+'DCF - FCFF'!$D$22,5)*(1+I$17)/($A25-I$17)/POWER(1+$A25,5)-'DCF - FCFF'!$O$22)/'DCF - FCFF'!$Q$22)</f>
        <v/>
      </c>
      <c r="J25" s="13">
        <f>IF($A25-J$17&lt;0.01,NA(),('DCF - FCFF'!$B$22*SUMPRODUCT(POWER(1+'DCF - FCFF'!$D$22,{1,2,3,4,5})/POWER(1+$A25,{1,2,3,4,5}))+'DCF - FCFF'!$B$22*POWER(1+'DCF - FCFF'!$D$22,5)*(1+J$17)/($A25-J$17)/POWER(1+$A25,5)-'DCF - FCFF'!$O$22)/'DCF - FCFF'!$Q$22)</f>
        <v/>
      </c>
    </row>
    <row r="26">
      <c r="A26" s="25">
        <f>'DCF - FCFF'!$E$22+0.02</f>
        <v/>
      </c>
      <c r="B26" s="13">
        <f>IF($A26-B$17&lt;0.01,NA(),('DCF - FCFF'!$B$22*SUMPRODUCT(POWER(1+'DCF - FCFF'!$D$22,{1,2,3,4,5})/POWER(1+$A26,{1,2,3,4,5}))+'DCF - FCFF'!$B$22*POWER(1+'DCF - FCFF'!$D$22,5)*(1+B$17)/($A26-B$17)/POWER(1+$A26,5)-'DCF - FCFF'!$O$22)/'DCF - FCFF'!$Q$22)</f>
        <v/>
      </c>
      <c r="C26" s="13">
        <f>IF($A26-C$17&lt;0.01,NA(),('DCF - FCFF'!$B$22*SUMPRODUCT(POWER(1+'DCF - FCFF'!$D$22,{1,2,3,4,5})/POWER(1+$A26,{1,2,3,4,5}))+'DCF - FCFF'!$B$22*POWER(1+'DCF - FCFF'!$D$22,5)*(1+C$17)/($A26-C$17)/POWER(1+$A26,5)-'DCF - FCFF'!$O$22)/'DCF - FCFF'!$Q$22)</f>
        <v/>
      </c>
      <c r="D26" s="13">
        <f>IF($A26-D$17&lt;0.01,NA(),('DCF - FCFF'!$B$22*SUMPRODUCT(POWER(1+'DCF - FCFF'!$D$22,{1,2,3,4,5})/POWER(1+$A26,{1,2,3,4,5}))+'DCF - FCFF'!$B$22*POWER(1+'DCF - FCFF'!$D$22,5)*(1+D$17)/($A26-D$17)/POWER(1+$A26,5)-'DCF - FCFF'!$O$22)/'DCF - FCFF'!$Q$22)</f>
        <v/>
      </c>
      <c r="E26" s="13">
        <f>IF($A26-E$17&lt;0.01,NA(),('DCF - FCFF'!$B$22*SUMPRODUCT(POWER(1+'DCF - FCFF'!$D$22,{1,2,3,4,5})/POWER(1+$A26,{1,2,3,4,5}))+'DCF - FCFF'!$B$22*POWER(1+'DCF - FCFF'!$D$22,5)*(1+E$17)/($A26-E$17)/POWER(1+$A26,5)-'DCF - FCFF'!$O$22)/'DCF - FCFF'!$Q$22)</f>
        <v/>
      </c>
      <c r="F26" s="13">
        <f>IF($A26-F$17&lt;0.01,NA(),('DCF - FCFF'!$B$22*SUMPRODUCT(POWER(1+'DCF - FCFF'!$D$22,{1,2,3,4,5})/POWER(1+$A26,{1,2,3,4,5}))+'DCF - FCFF'!$B$22*POWER(1+'DCF - FCFF'!$D$22,5)*(1+F$17)/($A26-F$17)/POWER(1+$A26,5)-'DCF - FCFF'!$O$22)/'DCF - FCFF'!$Q$22)</f>
        <v/>
      </c>
      <c r="G26" s="13">
        <f>IF($A26-G$17&lt;0.01,NA(),('DCF - FCFF'!$B$22*SUMPRODUCT(POWER(1+'DCF - FCFF'!$D$22,{1,2,3,4,5})/POWER(1+$A26,{1,2,3,4,5}))+'DCF - FCFF'!$B$22*POWER(1+'DCF - FCFF'!$D$22,5)*(1+G$17)/($A26-G$17)/POWER(1+$A26,5)-'DCF - FCFF'!$O$22)/'DCF - FCFF'!$Q$22)</f>
        <v/>
      </c>
      <c r="H26" s="13">
        <f>IF($A26-H$17&lt;0.01,NA(),('DCF - FCFF'!$B$22*SUMPRODUCT(POWER(1+'DCF - FCFF'!$D$22,{1,2,3,4,5})/POWER(1+$A26,{1,2,3,4,5}))+'DCF - FCFF'!$B$22*POWER(1+'DCF - FCFF'!$D$22,5)*(1+H$17)/($A26-H$17)/POWER(1+$A26,5)-'DCF - FCFF'!$O$22)/'DCF - FCFF'!$Q$22)</f>
        <v/>
      </c>
      <c r="I26" s="13">
        <f>IF($A26-I$17&lt;0.01,NA(),('DCF - FCFF'!$B$22*SUMPRODUCT(POWER(1+'DCF - FCFF'!$D$22,{1,2,3,4,5})/POWER(1+$A26,{1,2,3,4,5}))+'DCF - FCFF'!$B$22*POWER(1+'DCF - FCFF'!$D$22,5)*(1+I$17)/($A26-I$17)/POWER(1+$A26,5)-'DCF - FCFF'!$O$22)/'DCF - FCFF'!$Q$22)</f>
        <v/>
      </c>
      <c r="J26" s="13">
        <f>IF($A26-J$17&lt;0.01,NA(),('DCF - FCFF'!$B$22*SUMPRODUCT(POWER(1+'DCF - FCFF'!$D$22,{1,2,3,4,5})/POWER(1+$A26,{1,2,3,4,5}))+'DCF - FCFF'!$B$22*POWER(1+'DCF - FCFF'!$D$22,5)*(1+J$17)/($A26-J$17)/POWER(1+$A26,5)-'DCF - FCFF'!$O$22)/'DCF - FCFF'!$Q$22)</f>
        <v/>
      </c>
    </row>
    <row r="28">
      <c r="A28" s="3" t="inlineStr">
        <is>
          <t>Dabur</t>
        </is>
      </c>
      <c r="B28" s="13">
        <f>'Market Data'!$C$4</f>
        <v/>
      </c>
      <c r="C28" s="2" t="inlineStr">
        <is>
          <t>← market price · rows: WACC · cols: terminal g</t>
        </is>
      </c>
    </row>
    <row r="29">
      <c r="B29" s="24" t="n">
        <v>0.01</v>
      </c>
      <c r="C29" s="24" t="n">
        <v>0.015</v>
      </c>
      <c r="D29" s="24" t="n">
        <v>0.02</v>
      </c>
      <c r="E29" s="24" t="n">
        <v>0.025</v>
      </c>
      <c r="F29" s="24" t="n">
        <v>0.03</v>
      </c>
      <c r="G29" s="24" t="n">
        <v>0.035</v>
      </c>
      <c r="H29" s="24" t="n">
        <v>0.04</v>
      </c>
      <c r="I29" s="24" t="n">
        <v>0.045</v>
      </c>
      <c r="J29" s="24" t="n">
        <v>0.05</v>
      </c>
    </row>
    <row r="30">
      <c r="A30" s="25">
        <f>'DCF - FCFF'!$E$23-0.02</f>
        <v/>
      </c>
      <c r="B30" s="13">
        <f>IF($A30-B$29&lt;0.01,NA(),('DCF - FCFF'!$B$23*SUMPRODUCT(POWER(1+'DCF - FCFF'!$D$23,{1,2,3,4,5})/POWER(1+$A30,{1,2,3,4,5}))+'DCF - FCFF'!$B$23*POWER(1+'DCF - FCFF'!$D$23,5)*(1+B$29)/($A30-B$29)/POWER(1+$A30,5)-'DCF - FCFF'!$O$23)/'DCF - FCFF'!$Q$23)</f>
        <v/>
      </c>
      <c r="C30" s="13">
        <f>IF($A30-C$29&lt;0.01,NA(),('DCF - FCFF'!$B$23*SUMPRODUCT(POWER(1+'DCF - FCFF'!$D$23,{1,2,3,4,5})/POWER(1+$A30,{1,2,3,4,5}))+'DCF - FCFF'!$B$23*POWER(1+'DCF - FCFF'!$D$23,5)*(1+C$29)/($A30-C$29)/POWER(1+$A30,5)-'DCF - FCFF'!$O$23)/'DCF - FCFF'!$Q$23)</f>
        <v/>
      </c>
      <c r="D30" s="13">
        <f>IF($A30-D$29&lt;0.01,NA(),('DCF - FCFF'!$B$23*SUMPRODUCT(POWER(1+'DCF - FCFF'!$D$23,{1,2,3,4,5})/POWER(1+$A30,{1,2,3,4,5}))+'DCF - FCFF'!$B$23*POWER(1+'DCF - FCFF'!$D$23,5)*(1+D$29)/($A30-D$29)/POWER(1+$A30,5)-'DCF - FCFF'!$O$23)/'DCF - FCFF'!$Q$23)</f>
        <v/>
      </c>
      <c r="E30" s="13">
        <f>IF($A30-E$29&lt;0.01,NA(),('DCF - FCFF'!$B$23*SUMPRODUCT(POWER(1+'DCF - FCFF'!$D$23,{1,2,3,4,5})/POWER(1+$A30,{1,2,3,4,5}))+'DCF - FCFF'!$B$23*POWER(1+'DCF - FCFF'!$D$23,5)*(1+E$29)/($A30-E$29)/POWER(1+$A30,5)-'DCF - FCFF'!$O$23)/'DCF - FCFF'!$Q$23)</f>
        <v/>
      </c>
      <c r="F30" s="13">
        <f>IF($A30-F$29&lt;0.01,NA(),('DCF - FCFF'!$B$23*SUMPRODUCT(POWER(1+'DCF - FCFF'!$D$23,{1,2,3,4,5})/POWER(1+$A30,{1,2,3,4,5}))+'DCF - FCFF'!$B$23*POWER(1+'DCF - FCFF'!$D$23,5)*(1+F$29)/($A30-F$29)/POWER(1+$A30,5)-'DCF - FCFF'!$O$23)/'DCF - FCFF'!$Q$23)</f>
        <v/>
      </c>
      <c r="G30" s="13">
        <f>IF($A30-G$29&lt;0.01,NA(),('DCF - FCFF'!$B$23*SUMPRODUCT(POWER(1+'DCF - FCFF'!$D$23,{1,2,3,4,5})/POWER(1+$A30,{1,2,3,4,5}))+'DCF - FCFF'!$B$23*POWER(1+'DCF - FCFF'!$D$23,5)*(1+G$29)/($A30-G$29)/POWER(1+$A30,5)-'DCF - FCFF'!$O$23)/'DCF - FCFF'!$Q$23)</f>
        <v/>
      </c>
      <c r="H30" s="13">
        <f>IF($A30-H$29&lt;0.01,NA(),('DCF - FCFF'!$B$23*SUMPRODUCT(POWER(1+'DCF - FCFF'!$D$23,{1,2,3,4,5})/POWER(1+$A30,{1,2,3,4,5}))+'DCF - FCFF'!$B$23*POWER(1+'DCF - FCFF'!$D$23,5)*(1+H$29)/($A30-H$29)/POWER(1+$A30,5)-'DCF - FCFF'!$O$23)/'DCF - FCFF'!$Q$23)</f>
        <v/>
      </c>
      <c r="I30" s="13">
        <f>IF($A30-I$29&lt;0.01,NA(),('DCF - FCFF'!$B$23*SUMPRODUCT(POWER(1+'DCF - FCFF'!$D$23,{1,2,3,4,5})/POWER(1+$A30,{1,2,3,4,5}))+'DCF - FCFF'!$B$23*POWER(1+'DCF - FCFF'!$D$23,5)*(1+I$29)/($A30-I$29)/POWER(1+$A30,5)-'DCF - FCFF'!$O$23)/'DCF - FCFF'!$Q$23)</f>
        <v/>
      </c>
      <c r="J30" s="13">
        <f>IF($A30-J$29&lt;0.01,NA(),('DCF - FCFF'!$B$23*SUMPRODUCT(POWER(1+'DCF - FCFF'!$D$23,{1,2,3,4,5})/POWER(1+$A30,{1,2,3,4,5}))+'DCF - FCFF'!$B$23*POWER(1+'DCF - FCFF'!$D$23,5)*(1+J$29)/($A30-J$29)/POWER(1+$A30,5)-'DCF - FCFF'!$O$23)/'DCF - FCFF'!$Q$23)</f>
        <v/>
      </c>
    </row>
    <row r="31">
      <c r="A31" s="25">
        <f>'DCF - FCFF'!$E$23-0.015</f>
        <v/>
      </c>
      <c r="B31" s="13">
        <f>IF($A31-B$29&lt;0.01,NA(),('DCF - FCFF'!$B$23*SUMPRODUCT(POWER(1+'DCF - FCFF'!$D$23,{1,2,3,4,5})/POWER(1+$A31,{1,2,3,4,5}))+'DCF - FCFF'!$B$23*POWER(1+'DCF - FCFF'!$D$23,5)*(1+B$29)/($A31-B$29)/POWER(1+$A31,5)-'DCF - FCFF'!$O$23)/'DCF - FCFF'!$Q$23)</f>
        <v/>
      </c>
      <c r="C31" s="13">
        <f>IF($A31-C$29&lt;0.01,NA(),('DCF - FCFF'!$B$23*SUMPRODUCT(POWER(1+'DCF - FCFF'!$D$23,{1,2,3,4,5})/POWER(1+$A31,{1,2,3,4,5}))+'DCF - FCFF'!$B$23*POWER(1+'DCF - FCFF'!$D$23,5)*(1+C$29)/($A31-C$29)/POWER(1+$A31,5)-'DCF - FCFF'!$O$23)/'DCF - FCFF'!$Q$23)</f>
        <v/>
      </c>
      <c r="D31" s="13">
        <f>IF($A31-D$29&lt;0.01,NA(),('DCF - FCFF'!$B$23*SUMPRODUCT(POWER(1+'DCF - FCFF'!$D$23,{1,2,3,4,5})/POWER(1+$A31,{1,2,3,4,5}))+'DCF - FCFF'!$B$23*POWER(1+'DCF - FCFF'!$D$23,5)*(1+D$29)/($A31-D$29)/POWER(1+$A31,5)-'DCF - FCFF'!$O$23)/'DCF - FCFF'!$Q$23)</f>
        <v/>
      </c>
      <c r="E31" s="13">
        <f>IF($A31-E$29&lt;0.01,NA(),('DCF - FCFF'!$B$23*SUMPRODUCT(POWER(1+'DCF - FCFF'!$D$23,{1,2,3,4,5})/POWER(1+$A31,{1,2,3,4,5}))+'DCF - FCFF'!$B$23*POWER(1+'DCF - FCFF'!$D$23,5)*(1+E$29)/($A31-E$29)/POWER(1+$A31,5)-'DCF - FCFF'!$O$23)/'DCF - FCFF'!$Q$23)</f>
        <v/>
      </c>
      <c r="F31" s="13">
        <f>IF($A31-F$29&lt;0.01,NA(),('DCF - FCFF'!$B$23*SUMPRODUCT(POWER(1+'DCF - FCFF'!$D$23,{1,2,3,4,5})/POWER(1+$A31,{1,2,3,4,5}))+'DCF - FCFF'!$B$23*POWER(1+'DCF - FCFF'!$D$23,5)*(1+F$29)/($A31-F$29)/POWER(1+$A31,5)-'DCF - FCFF'!$O$23)/'DCF - FCFF'!$Q$23)</f>
        <v/>
      </c>
      <c r="G31" s="13">
        <f>IF($A31-G$29&lt;0.01,NA(),('DCF - FCFF'!$B$23*SUMPRODUCT(POWER(1+'DCF - FCFF'!$D$23,{1,2,3,4,5})/POWER(1+$A31,{1,2,3,4,5}))+'DCF - FCFF'!$B$23*POWER(1+'DCF - FCFF'!$D$23,5)*(1+G$29)/($A31-G$29)/POWER(1+$A31,5)-'DCF - FCFF'!$O$23)/'DCF - FCFF'!$Q$23)</f>
        <v/>
      </c>
      <c r="H31" s="13">
        <f>IF($A31-H$29&lt;0.01,NA(),('DCF - FCFF'!$B$23*SUMPRODUCT(POWER(1+'DCF - FCFF'!$D$23,{1,2,3,4,5})/POWER(1+$A31,{1,2,3,4,5}))+'DCF - FCFF'!$B$23*POWER(1+'DCF - FCFF'!$D$23,5)*(1+H$29)/($A31-H$29)/POWER(1+$A31,5)-'DCF - FCFF'!$O$23)/'DCF - FCFF'!$Q$23)</f>
        <v/>
      </c>
      <c r="I31" s="13">
        <f>IF($A31-I$29&lt;0.01,NA(),('DCF - FCFF'!$B$23*SUMPRODUCT(POWER(1+'DCF - FCFF'!$D$23,{1,2,3,4,5})/POWER(1+$A31,{1,2,3,4,5}))+'DCF - FCFF'!$B$23*POWER(1+'DCF - FCFF'!$D$23,5)*(1+I$29)/($A31-I$29)/POWER(1+$A31,5)-'DCF - FCFF'!$O$23)/'DCF - FCFF'!$Q$23)</f>
        <v/>
      </c>
      <c r="J31" s="13">
        <f>IF($A31-J$29&lt;0.01,NA(),('DCF - FCFF'!$B$23*SUMPRODUCT(POWER(1+'DCF - FCFF'!$D$23,{1,2,3,4,5})/POWER(1+$A31,{1,2,3,4,5}))+'DCF - FCFF'!$B$23*POWER(1+'DCF - FCFF'!$D$23,5)*(1+J$29)/($A31-J$29)/POWER(1+$A31,5)-'DCF - FCFF'!$O$23)/'DCF - FCFF'!$Q$23)</f>
        <v/>
      </c>
    </row>
    <row r="32">
      <c r="A32" s="25">
        <f>'DCF - FCFF'!$E$23-0.01</f>
        <v/>
      </c>
      <c r="B32" s="13">
        <f>IF($A32-B$29&lt;0.01,NA(),('DCF - FCFF'!$B$23*SUMPRODUCT(POWER(1+'DCF - FCFF'!$D$23,{1,2,3,4,5})/POWER(1+$A32,{1,2,3,4,5}))+'DCF - FCFF'!$B$23*POWER(1+'DCF - FCFF'!$D$23,5)*(1+B$29)/($A32-B$29)/POWER(1+$A32,5)-'DCF - FCFF'!$O$23)/'DCF - FCFF'!$Q$23)</f>
        <v/>
      </c>
      <c r="C32" s="13">
        <f>IF($A32-C$29&lt;0.01,NA(),('DCF - FCFF'!$B$23*SUMPRODUCT(POWER(1+'DCF - FCFF'!$D$23,{1,2,3,4,5})/POWER(1+$A32,{1,2,3,4,5}))+'DCF - FCFF'!$B$23*POWER(1+'DCF - FCFF'!$D$23,5)*(1+C$29)/($A32-C$29)/POWER(1+$A32,5)-'DCF - FCFF'!$O$23)/'DCF - FCFF'!$Q$23)</f>
        <v/>
      </c>
      <c r="D32" s="13">
        <f>IF($A32-D$29&lt;0.01,NA(),('DCF - FCFF'!$B$23*SUMPRODUCT(POWER(1+'DCF - FCFF'!$D$23,{1,2,3,4,5})/POWER(1+$A32,{1,2,3,4,5}))+'DCF - FCFF'!$B$23*POWER(1+'DCF - FCFF'!$D$23,5)*(1+D$29)/($A32-D$29)/POWER(1+$A32,5)-'DCF - FCFF'!$O$23)/'DCF - FCFF'!$Q$23)</f>
        <v/>
      </c>
      <c r="E32" s="13">
        <f>IF($A32-E$29&lt;0.01,NA(),('DCF - FCFF'!$B$23*SUMPRODUCT(POWER(1+'DCF - FCFF'!$D$23,{1,2,3,4,5})/POWER(1+$A32,{1,2,3,4,5}))+'DCF - FCFF'!$B$23*POWER(1+'DCF - FCFF'!$D$23,5)*(1+E$29)/($A32-E$29)/POWER(1+$A32,5)-'DCF - FCFF'!$O$23)/'DCF - FCFF'!$Q$23)</f>
        <v/>
      </c>
      <c r="F32" s="13">
        <f>IF($A32-F$29&lt;0.01,NA(),('DCF - FCFF'!$B$23*SUMPRODUCT(POWER(1+'DCF - FCFF'!$D$23,{1,2,3,4,5})/POWER(1+$A32,{1,2,3,4,5}))+'DCF - FCFF'!$B$23*POWER(1+'DCF - FCFF'!$D$23,5)*(1+F$29)/($A32-F$29)/POWER(1+$A32,5)-'DCF - FCFF'!$O$23)/'DCF - FCFF'!$Q$23)</f>
        <v/>
      </c>
      <c r="G32" s="13">
        <f>IF($A32-G$29&lt;0.01,NA(),('DCF - FCFF'!$B$23*SUMPRODUCT(POWER(1+'DCF - FCFF'!$D$23,{1,2,3,4,5})/POWER(1+$A32,{1,2,3,4,5}))+'DCF - FCFF'!$B$23*POWER(1+'DCF - FCFF'!$D$23,5)*(1+G$29)/($A32-G$29)/POWER(1+$A32,5)-'DCF - FCFF'!$O$23)/'DCF - FCFF'!$Q$23)</f>
        <v/>
      </c>
      <c r="H32" s="13">
        <f>IF($A32-H$29&lt;0.01,NA(),('DCF - FCFF'!$B$23*SUMPRODUCT(POWER(1+'DCF - FCFF'!$D$23,{1,2,3,4,5})/POWER(1+$A32,{1,2,3,4,5}))+'DCF - FCFF'!$B$23*POWER(1+'DCF - FCFF'!$D$23,5)*(1+H$29)/($A32-H$29)/POWER(1+$A32,5)-'DCF - FCFF'!$O$23)/'DCF - FCFF'!$Q$23)</f>
        <v/>
      </c>
      <c r="I32" s="13">
        <f>IF($A32-I$29&lt;0.01,NA(),('DCF - FCFF'!$B$23*SUMPRODUCT(POWER(1+'DCF - FCFF'!$D$23,{1,2,3,4,5})/POWER(1+$A32,{1,2,3,4,5}))+'DCF - FCFF'!$B$23*POWER(1+'DCF - FCFF'!$D$23,5)*(1+I$29)/($A32-I$29)/POWER(1+$A32,5)-'DCF - FCFF'!$O$23)/'DCF - FCFF'!$Q$23)</f>
        <v/>
      </c>
      <c r="J32" s="13">
        <f>IF($A32-J$29&lt;0.01,NA(),('DCF - FCFF'!$B$23*SUMPRODUCT(POWER(1+'DCF - FCFF'!$D$23,{1,2,3,4,5})/POWER(1+$A32,{1,2,3,4,5}))+'DCF - FCFF'!$B$23*POWER(1+'DCF - FCFF'!$D$23,5)*(1+J$29)/($A32-J$29)/POWER(1+$A32,5)-'DCF - FCFF'!$O$23)/'DCF - FCFF'!$Q$23)</f>
        <v/>
      </c>
    </row>
    <row r="33">
      <c r="A33" s="25">
        <f>'DCF - FCFF'!$E$23-0.005</f>
        <v/>
      </c>
      <c r="B33" s="13">
        <f>IF($A33-B$29&lt;0.01,NA(),('DCF - FCFF'!$B$23*SUMPRODUCT(POWER(1+'DCF - FCFF'!$D$23,{1,2,3,4,5})/POWER(1+$A33,{1,2,3,4,5}))+'DCF - FCFF'!$B$23*POWER(1+'DCF - FCFF'!$D$23,5)*(1+B$29)/($A33-B$29)/POWER(1+$A33,5)-'DCF - FCFF'!$O$23)/'DCF - FCFF'!$Q$23)</f>
        <v/>
      </c>
      <c r="C33" s="13">
        <f>IF($A33-C$29&lt;0.01,NA(),('DCF - FCFF'!$B$23*SUMPRODUCT(POWER(1+'DCF - FCFF'!$D$23,{1,2,3,4,5})/POWER(1+$A33,{1,2,3,4,5}))+'DCF - FCFF'!$B$23*POWER(1+'DCF - FCFF'!$D$23,5)*(1+C$29)/($A33-C$29)/POWER(1+$A33,5)-'DCF - FCFF'!$O$23)/'DCF - FCFF'!$Q$23)</f>
        <v/>
      </c>
      <c r="D33" s="13">
        <f>IF($A33-D$29&lt;0.01,NA(),('DCF - FCFF'!$B$23*SUMPRODUCT(POWER(1+'DCF - FCFF'!$D$23,{1,2,3,4,5})/POWER(1+$A33,{1,2,3,4,5}))+'DCF - FCFF'!$B$23*POWER(1+'DCF - FCFF'!$D$23,5)*(1+D$29)/($A33-D$29)/POWER(1+$A33,5)-'DCF - FCFF'!$O$23)/'DCF - FCFF'!$Q$23)</f>
        <v/>
      </c>
      <c r="E33" s="13">
        <f>IF($A33-E$29&lt;0.01,NA(),('DCF - FCFF'!$B$23*SUMPRODUCT(POWER(1+'DCF - FCFF'!$D$23,{1,2,3,4,5})/POWER(1+$A33,{1,2,3,4,5}))+'DCF - FCFF'!$B$23*POWER(1+'DCF - FCFF'!$D$23,5)*(1+E$29)/($A33-E$29)/POWER(1+$A33,5)-'DCF - FCFF'!$O$23)/'DCF - FCFF'!$Q$23)</f>
        <v/>
      </c>
      <c r="F33" s="13">
        <f>IF($A33-F$29&lt;0.01,NA(),('DCF - FCFF'!$B$23*SUMPRODUCT(POWER(1+'DCF - FCFF'!$D$23,{1,2,3,4,5})/POWER(1+$A33,{1,2,3,4,5}))+'DCF - FCFF'!$B$23*POWER(1+'DCF - FCFF'!$D$23,5)*(1+F$29)/($A33-F$29)/POWER(1+$A33,5)-'DCF - FCFF'!$O$23)/'DCF - FCFF'!$Q$23)</f>
        <v/>
      </c>
      <c r="G33" s="13">
        <f>IF($A33-G$29&lt;0.01,NA(),('DCF - FCFF'!$B$23*SUMPRODUCT(POWER(1+'DCF - FCFF'!$D$23,{1,2,3,4,5})/POWER(1+$A33,{1,2,3,4,5}))+'DCF - FCFF'!$B$23*POWER(1+'DCF - FCFF'!$D$23,5)*(1+G$29)/($A33-G$29)/POWER(1+$A33,5)-'DCF - FCFF'!$O$23)/'DCF - FCFF'!$Q$23)</f>
        <v/>
      </c>
      <c r="H33" s="13">
        <f>IF($A33-H$29&lt;0.01,NA(),('DCF - FCFF'!$B$23*SUMPRODUCT(POWER(1+'DCF - FCFF'!$D$23,{1,2,3,4,5})/POWER(1+$A33,{1,2,3,4,5}))+'DCF - FCFF'!$B$23*POWER(1+'DCF - FCFF'!$D$23,5)*(1+H$29)/($A33-H$29)/POWER(1+$A33,5)-'DCF - FCFF'!$O$23)/'DCF - FCFF'!$Q$23)</f>
        <v/>
      </c>
      <c r="I33" s="13">
        <f>IF($A33-I$29&lt;0.01,NA(),('DCF - FCFF'!$B$23*SUMPRODUCT(POWER(1+'DCF - FCFF'!$D$23,{1,2,3,4,5})/POWER(1+$A33,{1,2,3,4,5}))+'DCF - FCFF'!$B$23*POWER(1+'DCF - FCFF'!$D$23,5)*(1+I$29)/($A33-I$29)/POWER(1+$A33,5)-'DCF - FCFF'!$O$23)/'DCF - FCFF'!$Q$23)</f>
        <v/>
      </c>
      <c r="J33" s="13">
        <f>IF($A33-J$29&lt;0.01,NA(),('DCF - FCFF'!$B$23*SUMPRODUCT(POWER(1+'DCF - FCFF'!$D$23,{1,2,3,4,5})/POWER(1+$A33,{1,2,3,4,5}))+'DCF - FCFF'!$B$23*POWER(1+'DCF - FCFF'!$D$23,5)*(1+J$29)/($A33-J$29)/POWER(1+$A33,5)-'DCF - FCFF'!$O$23)/'DCF - FCFF'!$Q$23)</f>
        <v/>
      </c>
    </row>
    <row r="34">
      <c r="A34" s="25">
        <f>'DCF - FCFF'!$E$23+0.0</f>
        <v/>
      </c>
      <c r="B34" s="13">
        <f>IF($A34-B$29&lt;0.01,NA(),('DCF - FCFF'!$B$23*SUMPRODUCT(POWER(1+'DCF - FCFF'!$D$23,{1,2,3,4,5})/POWER(1+$A34,{1,2,3,4,5}))+'DCF - FCFF'!$B$23*POWER(1+'DCF - FCFF'!$D$23,5)*(1+B$29)/($A34-B$29)/POWER(1+$A34,5)-'DCF - FCFF'!$O$23)/'DCF - FCFF'!$Q$23)</f>
        <v/>
      </c>
      <c r="C34" s="13">
        <f>IF($A34-C$29&lt;0.01,NA(),('DCF - FCFF'!$B$23*SUMPRODUCT(POWER(1+'DCF - FCFF'!$D$23,{1,2,3,4,5})/POWER(1+$A34,{1,2,3,4,5}))+'DCF - FCFF'!$B$23*POWER(1+'DCF - FCFF'!$D$23,5)*(1+C$29)/($A34-C$29)/POWER(1+$A34,5)-'DCF - FCFF'!$O$23)/'DCF - FCFF'!$Q$23)</f>
        <v/>
      </c>
      <c r="D34" s="13">
        <f>IF($A34-D$29&lt;0.01,NA(),('DCF - FCFF'!$B$23*SUMPRODUCT(POWER(1+'DCF - FCFF'!$D$23,{1,2,3,4,5})/POWER(1+$A34,{1,2,3,4,5}))+'DCF - FCFF'!$B$23*POWER(1+'DCF - FCFF'!$D$23,5)*(1+D$29)/($A34-D$29)/POWER(1+$A34,5)-'DCF - FCFF'!$O$23)/'DCF - FCFF'!$Q$23)</f>
        <v/>
      </c>
      <c r="E34" s="13">
        <f>IF($A34-E$29&lt;0.01,NA(),('DCF - FCFF'!$B$23*SUMPRODUCT(POWER(1+'DCF - FCFF'!$D$23,{1,2,3,4,5})/POWER(1+$A34,{1,2,3,4,5}))+'DCF - FCFF'!$B$23*POWER(1+'DCF - FCFF'!$D$23,5)*(1+E$29)/($A34-E$29)/POWER(1+$A34,5)-'DCF - FCFF'!$O$23)/'DCF - FCFF'!$Q$23)</f>
        <v/>
      </c>
      <c r="F34" s="13">
        <f>IF($A34-F$29&lt;0.01,NA(),('DCF - FCFF'!$B$23*SUMPRODUCT(POWER(1+'DCF - FCFF'!$D$23,{1,2,3,4,5})/POWER(1+$A34,{1,2,3,4,5}))+'DCF - FCFF'!$B$23*POWER(1+'DCF - FCFF'!$D$23,5)*(1+F$29)/($A34-F$29)/POWER(1+$A34,5)-'DCF - FCFF'!$O$23)/'DCF - FCFF'!$Q$23)</f>
        <v/>
      </c>
      <c r="G34" s="13">
        <f>IF($A34-G$29&lt;0.01,NA(),('DCF - FCFF'!$B$23*SUMPRODUCT(POWER(1+'DCF - FCFF'!$D$23,{1,2,3,4,5})/POWER(1+$A34,{1,2,3,4,5}))+'DCF - FCFF'!$B$23*POWER(1+'DCF - FCFF'!$D$23,5)*(1+G$29)/($A34-G$29)/POWER(1+$A34,5)-'DCF - FCFF'!$O$23)/'DCF - FCFF'!$Q$23)</f>
        <v/>
      </c>
      <c r="H34" s="34">
        <f>IF($A34-H$29&lt;0.01,NA(),('DCF - FCFF'!$B$23*SUMPRODUCT(POWER(1+'DCF - FCFF'!$D$23,{1,2,3,4,5})/POWER(1+$A34,{1,2,3,4,5}))+'DCF - FCFF'!$B$23*POWER(1+'DCF - FCFF'!$D$23,5)*(1+H$29)/($A34-H$29)/POWER(1+$A34,5)-'DCF - FCFF'!$O$23)/'DCF - FCFF'!$Q$23)</f>
        <v/>
      </c>
      <c r="I34" s="13">
        <f>IF($A34-I$29&lt;0.01,NA(),('DCF - FCFF'!$B$23*SUMPRODUCT(POWER(1+'DCF - FCFF'!$D$23,{1,2,3,4,5})/POWER(1+$A34,{1,2,3,4,5}))+'DCF - FCFF'!$B$23*POWER(1+'DCF - FCFF'!$D$23,5)*(1+I$29)/($A34-I$29)/POWER(1+$A34,5)-'DCF - FCFF'!$O$23)/'DCF - FCFF'!$Q$23)</f>
        <v/>
      </c>
      <c r="J34" s="13">
        <f>IF($A34-J$29&lt;0.01,NA(),('DCF - FCFF'!$B$23*SUMPRODUCT(POWER(1+'DCF - FCFF'!$D$23,{1,2,3,4,5})/POWER(1+$A34,{1,2,3,4,5}))+'DCF - FCFF'!$B$23*POWER(1+'DCF - FCFF'!$D$23,5)*(1+J$29)/($A34-J$29)/POWER(1+$A34,5)-'DCF - FCFF'!$O$23)/'DCF - FCFF'!$Q$23)</f>
        <v/>
      </c>
    </row>
    <row r="35">
      <c r="A35" s="25">
        <f>'DCF - FCFF'!$E$23+0.005</f>
        <v/>
      </c>
      <c r="B35" s="13">
        <f>IF($A35-B$29&lt;0.01,NA(),('DCF - FCFF'!$B$23*SUMPRODUCT(POWER(1+'DCF - FCFF'!$D$23,{1,2,3,4,5})/POWER(1+$A35,{1,2,3,4,5}))+'DCF - FCFF'!$B$23*POWER(1+'DCF - FCFF'!$D$23,5)*(1+B$29)/($A35-B$29)/POWER(1+$A35,5)-'DCF - FCFF'!$O$23)/'DCF - FCFF'!$Q$23)</f>
        <v/>
      </c>
      <c r="C35" s="13">
        <f>IF($A35-C$29&lt;0.01,NA(),('DCF - FCFF'!$B$23*SUMPRODUCT(POWER(1+'DCF - FCFF'!$D$23,{1,2,3,4,5})/POWER(1+$A35,{1,2,3,4,5}))+'DCF - FCFF'!$B$23*POWER(1+'DCF - FCFF'!$D$23,5)*(1+C$29)/($A35-C$29)/POWER(1+$A35,5)-'DCF - FCFF'!$O$23)/'DCF - FCFF'!$Q$23)</f>
        <v/>
      </c>
      <c r="D35" s="13">
        <f>IF($A35-D$29&lt;0.01,NA(),('DCF - FCFF'!$B$23*SUMPRODUCT(POWER(1+'DCF - FCFF'!$D$23,{1,2,3,4,5})/POWER(1+$A35,{1,2,3,4,5}))+'DCF - FCFF'!$B$23*POWER(1+'DCF - FCFF'!$D$23,5)*(1+D$29)/($A35-D$29)/POWER(1+$A35,5)-'DCF - FCFF'!$O$23)/'DCF - FCFF'!$Q$23)</f>
        <v/>
      </c>
      <c r="E35" s="13">
        <f>IF($A35-E$29&lt;0.01,NA(),('DCF - FCFF'!$B$23*SUMPRODUCT(POWER(1+'DCF - FCFF'!$D$23,{1,2,3,4,5})/POWER(1+$A35,{1,2,3,4,5}))+'DCF - FCFF'!$B$23*POWER(1+'DCF - FCFF'!$D$23,5)*(1+E$29)/($A35-E$29)/POWER(1+$A35,5)-'DCF - FCFF'!$O$23)/'DCF - FCFF'!$Q$23)</f>
        <v/>
      </c>
      <c r="F35" s="13">
        <f>IF($A35-F$29&lt;0.01,NA(),('DCF - FCFF'!$B$23*SUMPRODUCT(POWER(1+'DCF - FCFF'!$D$23,{1,2,3,4,5})/POWER(1+$A35,{1,2,3,4,5}))+'DCF - FCFF'!$B$23*POWER(1+'DCF - FCFF'!$D$23,5)*(1+F$29)/($A35-F$29)/POWER(1+$A35,5)-'DCF - FCFF'!$O$23)/'DCF - FCFF'!$Q$23)</f>
        <v/>
      </c>
      <c r="G35" s="13">
        <f>IF($A35-G$29&lt;0.01,NA(),('DCF - FCFF'!$B$23*SUMPRODUCT(POWER(1+'DCF - FCFF'!$D$23,{1,2,3,4,5})/POWER(1+$A35,{1,2,3,4,5}))+'DCF - FCFF'!$B$23*POWER(1+'DCF - FCFF'!$D$23,5)*(1+G$29)/($A35-G$29)/POWER(1+$A35,5)-'DCF - FCFF'!$O$23)/'DCF - FCFF'!$Q$23)</f>
        <v/>
      </c>
      <c r="H35" s="13">
        <f>IF($A35-H$29&lt;0.01,NA(),('DCF - FCFF'!$B$23*SUMPRODUCT(POWER(1+'DCF - FCFF'!$D$23,{1,2,3,4,5})/POWER(1+$A35,{1,2,3,4,5}))+'DCF - FCFF'!$B$23*POWER(1+'DCF - FCFF'!$D$23,5)*(1+H$29)/($A35-H$29)/POWER(1+$A35,5)-'DCF - FCFF'!$O$23)/'DCF - FCFF'!$Q$23)</f>
        <v/>
      </c>
      <c r="I35" s="13">
        <f>IF($A35-I$29&lt;0.01,NA(),('DCF - FCFF'!$B$23*SUMPRODUCT(POWER(1+'DCF - FCFF'!$D$23,{1,2,3,4,5})/POWER(1+$A35,{1,2,3,4,5}))+'DCF - FCFF'!$B$23*POWER(1+'DCF - FCFF'!$D$23,5)*(1+I$29)/($A35-I$29)/POWER(1+$A35,5)-'DCF - FCFF'!$O$23)/'DCF - FCFF'!$Q$23)</f>
        <v/>
      </c>
      <c r="J35" s="13">
        <f>IF($A35-J$29&lt;0.01,NA(),('DCF - FCFF'!$B$23*SUMPRODUCT(POWER(1+'DCF - FCFF'!$D$23,{1,2,3,4,5})/POWER(1+$A35,{1,2,3,4,5}))+'DCF - FCFF'!$B$23*POWER(1+'DCF - FCFF'!$D$23,5)*(1+J$29)/($A35-J$29)/POWER(1+$A35,5)-'DCF - FCFF'!$O$23)/'DCF - FCFF'!$Q$23)</f>
        <v/>
      </c>
    </row>
    <row r="36">
      <c r="A36" s="25">
        <f>'DCF - FCFF'!$E$23+0.01</f>
        <v/>
      </c>
      <c r="B36" s="13">
        <f>IF($A36-B$29&lt;0.01,NA(),('DCF - FCFF'!$B$23*SUMPRODUCT(POWER(1+'DCF - FCFF'!$D$23,{1,2,3,4,5})/POWER(1+$A36,{1,2,3,4,5}))+'DCF - FCFF'!$B$23*POWER(1+'DCF - FCFF'!$D$23,5)*(1+B$29)/($A36-B$29)/POWER(1+$A36,5)-'DCF - FCFF'!$O$23)/'DCF - FCFF'!$Q$23)</f>
        <v/>
      </c>
      <c r="C36" s="13">
        <f>IF($A36-C$29&lt;0.01,NA(),('DCF - FCFF'!$B$23*SUMPRODUCT(POWER(1+'DCF - FCFF'!$D$23,{1,2,3,4,5})/POWER(1+$A36,{1,2,3,4,5}))+'DCF - FCFF'!$B$23*POWER(1+'DCF - FCFF'!$D$23,5)*(1+C$29)/($A36-C$29)/POWER(1+$A36,5)-'DCF - FCFF'!$O$23)/'DCF - FCFF'!$Q$23)</f>
        <v/>
      </c>
      <c r="D36" s="13">
        <f>IF($A36-D$29&lt;0.01,NA(),('DCF - FCFF'!$B$23*SUMPRODUCT(POWER(1+'DCF - FCFF'!$D$23,{1,2,3,4,5})/POWER(1+$A36,{1,2,3,4,5}))+'DCF - FCFF'!$B$23*POWER(1+'DCF - FCFF'!$D$23,5)*(1+D$29)/($A36-D$29)/POWER(1+$A36,5)-'DCF - FCFF'!$O$23)/'DCF - FCFF'!$Q$23)</f>
        <v/>
      </c>
      <c r="E36" s="13">
        <f>IF($A36-E$29&lt;0.01,NA(),('DCF - FCFF'!$B$23*SUMPRODUCT(POWER(1+'DCF - FCFF'!$D$23,{1,2,3,4,5})/POWER(1+$A36,{1,2,3,4,5}))+'DCF - FCFF'!$B$23*POWER(1+'DCF - FCFF'!$D$23,5)*(1+E$29)/($A36-E$29)/POWER(1+$A36,5)-'DCF - FCFF'!$O$23)/'DCF - FCFF'!$Q$23)</f>
        <v/>
      </c>
      <c r="F36" s="13">
        <f>IF($A36-F$29&lt;0.01,NA(),('DCF - FCFF'!$B$23*SUMPRODUCT(POWER(1+'DCF - FCFF'!$D$23,{1,2,3,4,5})/POWER(1+$A36,{1,2,3,4,5}))+'DCF - FCFF'!$B$23*POWER(1+'DCF - FCFF'!$D$23,5)*(1+F$29)/($A36-F$29)/POWER(1+$A36,5)-'DCF - FCFF'!$O$23)/'DCF - FCFF'!$Q$23)</f>
        <v/>
      </c>
      <c r="G36" s="13">
        <f>IF($A36-G$29&lt;0.01,NA(),('DCF - FCFF'!$B$23*SUMPRODUCT(POWER(1+'DCF - FCFF'!$D$23,{1,2,3,4,5})/POWER(1+$A36,{1,2,3,4,5}))+'DCF - FCFF'!$B$23*POWER(1+'DCF - FCFF'!$D$23,5)*(1+G$29)/($A36-G$29)/POWER(1+$A36,5)-'DCF - FCFF'!$O$23)/'DCF - FCFF'!$Q$23)</f>
        <v/>
      </c>
      <c r="H36" s="13">
        <f>IF($A36-H$29&lt;0.01,NA(),('DCF - FCFF'!$B$23*SUMPRODUCT(POWER(1+'DCF - FCFF'!$D$23,{1,2,3,4,5})/POWER(1+$A36,{1,2,3,4,5}))+'DCF - FCFF'!$B$23*POWER(1+'DCF - FCFF'!$D$23,5)*(1+H$29)/($A36-H$29)/POWER(1+$A36,5)-'DCF - FCFF'!$O$23)/'DCF - FCFF'!$Q$23)</f>
        <v/>
      </c>
      <c r="I36" s="13">
        <f>IF($A36-I$29&lt;0.01,NA(),('DCF - FCFF'!$B$23*SUMPRODUCT(POWER(1+'DCF - FCFF'!$D$23,{1,2,3,4,5})/POWER(1+$A36,{1,2,3,4,5}))+'DCF - FCFF'!$B$23*POWER(1+'DCF - FCFF'!$D$23,5)*(1+I$29)/($A36-I$29)/POWER(1+$A36,5)-'DCF - FCFF'!$O$23)/'DCF - FCFF'!$Q$23)</f>
        <v/>
      </c>
      <c r="J36" s="13">
        <f>IF($A36-J$29&lt;0.01,NA(),('DCF - FCFF'!$B$23*SUMPRODUCT(POWER(1+'DCF - FCFF'!$D$23,{1,2,3,4,5})/POWER(1+$A36,{1,2,3,4,5}))+'DCF - FCFF'!$B$23*POWER(1+'DCF - FCFF'!$D$23,5)*(1+J$29)/($A36-J$29)/POWER(1+$A36,5)-'DCF - FCFF'!$O$23)/'DCF - FCFF'!$Q$23)</f>
        <v/>
      </c>
    </row>
    <row r="37">
      <c r="A37" s="25">
        <f>'DCF - FCFF'!$E$23+0.015</f>
        <v/>
      </c>
      <c r="B37" s="13">
        <f>IF($A37-B$29&lt;0.01,NA(),('DCF - FCFF'!$B$23*SUMPRODUCT(POWER(1+'DCF - FCFF'!$D$23,{1,2,3,4,5})/POWER(1+$A37,{1,2,3,4,5}))+'DCF - FCFF'!$B$23*POWER(1+'DCF - FCFF'!$D$23,5)*(1+B$29)/($A37-B$29)/POWER(1+$A37,5)-'DCF - FCFF'!$O$23)/'DCF - FCFF'!$Q$23)</f>
        <v/>
      </c>
      <c r="C37" s="13">
        <f>IF($A37-C$29&lt;0.01,NA(),('DCF - FCFF'!$B$23*SUMPRODUCT(POWER(1+'DCF - FCFF'!$D$23,{1,2,3,4,5})/POWER(1+$A37,{1,2,3,4,5}))+'DCF - FCFF'!$B$23*POWER(1+'DCF - FCFF'!$D$23,5)*(1+C$29)/($A37-C$29)/POWER(1+$A37,5)-'DCF - FCFF'!$O$23)/'DCF - FCFF'!$Q$23)</f>
        <v/>
      </c>
      <c r="D37" s="13">
        <f>IF($A37-D$29&lt;0.01,NA(),('DCF - FCFF'!$B$23*SUMPRODUCT(POWER(1+'DCF - FCFF'!$D$23,{1,2,3,4,5})/POWER(1+$A37,{1,2,3,4,5}))+'DCF - FCFF'!$B$23*POWER(1+'DCF - FCFF'!$D$23,5)*(1+D$29)/($A37-D$29)/POWER(1+$A37,5)-'DCF - FCFF'!$O$23)/'DCF - FCFF'!$Q$23)</f>
        <v/>
      </c>
      <c r="E37" s="13">
        <f>IF($A37-E$29&lt;0.01,NA(),('DCF - FCFF'!$B$23*SUMPRODUCT(POWER(1+'DCF - FCFF'!$D$23,{1,2,3,4,5})/POWER(1+$A37,{1,2,3,4,5}))+'DCF - FCFF'!$B$23*POWER(1+'DCF - FCFF'!$D$23,5)*(1+E$29)/($A37-E$29)/POWER(1+$A37,5)-'DCF - FCFF'!$O$23)/'DCF - FCFF'!$Q$23)</f>
        <v/>
      </c>
      <c r="F37" s="13">
        <f>IF($A37-F$29&lt;0.01,NA(),('DCF - FCFF'!$B$23*SUMPRODUCT(POWER(1+'DCF - FCFF'!$D$23,{1,2,3,4,5})/POWER(1+$A37,{1,2,3,4,5}))+'DCF - FCFF'!$B$23*POWER(1+'DCF - FCFF'!$D$23,5)*(1+F$29)/($A37-F$29)/POWER(1+$A37,5)-'DCF - FCFF'!$O$23)/'DCF - FCFF'!$Q$23)</f>
        <v/>
      </c>
      <c r="G37" s="13">
        <f>IF($A37-G$29&lt;0.01,NA(),('DCF - FCFF'!$B$23*SUMPRODUCT(POWER(1+'DCF - FCFF'!$D$23,{1,2,3,4,5})/POWER(1+$A37,{1,2,3,4,5}))+'DCF - FCFF'!$B$23*POWER(1+'DCF - FCFF'!$D$23,5)*(1+G$29)/($A37-G$29)/POWER(1+$A37,5)-'DCF - FCFF'!$O$23)/'DCF - FCFF'!$Q$23)</f>
        <v/>
      </c>
      <c r="H37" s="13">
        <f>IF($A37-H$29&lt;0.01,NA(),('DCF - FCFF'!$B$23*SUMPRODUCT(POWER(1+'DCF - FCFF'!$D$23,{1,2,3,4,5})/POWER(1+$A37,{1,2,3,4,5}))+'DCF - FCFF'!$B$23*POWER(1+'DCF - FCFF'!$D$23,5)*(1+H$29)/($A37-H$29)/POWER(1+$A37,5)-'DCF - FCFF'!$O$23)/'DCF - FCFF'!$Q$23)</f>
        <v/>
      </c>
      <c r="I37" s="13">
        <f>IF($A37-I$29&lt;0.01,NA(),('DCF - FCFF'!$B$23*SUMPRODUCT(POWER(1+'DCF - FCFF'!$D$23,{1,2,3,4,5})/POWER(1+$A37,{1,2,3,4,5}))+'DCF - FCFF'!$B$23*POWER(1+'DCF - FCFF'!$D$23,5)*(1+I$29)/($A37-I$29)/POWER(1+$A37,5)-'DCF - FCFF'!$O$23)/'DCF - FCFF'!$Q$23)</f>
        <v/>
      </c>
      <c r="J37" s="13">
        <f>IF($A37-J$29&lt;0.01,NA(),('DCF - FCFF'!$B$23*SUMPRODUCT(POWER(1+'DCF - FCFF'!$D$23,{1,2,3,4,5})/POWER(1+$A37,{1,2,3,4,5}))+'DCF - FCFF'!$B$23*POWER(1+'DCF - FCFF'!$D$23,5)*(1+J$29)/($A37-J$29)/POWER(1+$A37,5)-'DCF - FCFF'!$O$23)/'DCF - FCFF'!$Q$23)</f>
        <v/>
      </c>
    </row>
    <row r="38">
      <c r="A38" s="25">
        <f>'DCF - FCFF'!$E$23+0.02</f>
        <v/>
      </c>
      <c r="B38" s="13">
        <f>IF($A38-B$29&lt;0.01,NA(),('DCF - FCFF'!$B$23*SUMPRODUCT(POWER(1+'DCF - FCFF'!$D$23,{1,2,3,4,5})/POWER(1+$A38,{1,2,3,4,5}))+'DCF - FCFF'!$B$23*POWER(1+'DCF - FCFF'!$D$23,5)*(1+B$29)/($A38-B$29)/POWER(1+$A38,5)-'DCF - FCFF'!$O$23)/'DCF - FCFF'!$Q$23)</f>
        <v/>
      </c>
      <c r="C38" s="13">
        <f>IF($A38-C$29&lt;0.01,NA(),('DCF - FCFF'!$B$23*SUMPRODUCT(POWER(1+'DCF - FCFF'!$D$23,{1,2,3,4,5})/POWER(1+$A38,{1,2,3,4,5}))+'DCF - FCFF'!$B$23*POWER(1+'DCF - FCFF'!$D$23,5)*(1+C$29)/($A38-C$29)/POWER(1+$A38,5)-'DCF - FCFF'!$O$23)/'DCF - FCFF'!$Q$23)</f>
        <v/>
      </c>
      <c r="D38" s="13">
        <f>IF($A38-D$29&lt;0.01,NA(),('DCF - FCFF'!$B$23*SUMPRODUCT(POWER(1+'DCF - FCFF'!$D$23,{1,2,3,4,5})/POWER(1+$A38,{1,2,3,4,5}))+'DCF - FCFF'!$B$23*POWER(1+'DCF - FCFF'!$D$23,5)*(1+D$29)/($A38-D$29)/POWER(1+$A38,5)-'DCF - FCFF'!$O$23)/'DCF - FCFF'!$Q$23)</f>
        <v/>
      </c>
      <c r="E38" s="13">
        <f>IF($A38-E$29&lt;0.01,NA(),('DCF - FCFF'!$B$23*SUMPRODUCT(POWER(1+'DCF - FCFF'!$D$23,{1,2,3,4,5})/POWER(1+$A38,{1,2,3,4,5}))+'DCF - FCFF'!$B$23*POWER(1+'DCF - FCFF'!$D$23,5)*(1+E$29)/($A38-E$29)/POWER(1+$A38,5)-'DCF - FCFF'!$O$23)/'DCF - FCFF'!$Q$23)</f>
        <v/>
      </c>
      <c r="F38" s="13">
        <f>IF($A38-F$29&lt;0.01,NA(),('DCF - FCFF'!$B$23*SUMPRODUCT(POWER(1+'DCF - FCFF'!$D$23,{1,2,3,4,5})/POWER(1+$A38,{1,2,3,4,5}))+'DCF - FCFF'!$B$23*POWER(1+'DCF - FCFF'!$D$23,5)*(1+F$29)/($A38-F$29)/POWER(1+$A38,5)-'DCF - FCFF'!$O$23)/'DCF - FCFF'!$Q$23)</f>
        <v/>
      </c>
      <c r="G38" s="13">
        <f>IF($A38-G$29&lt;0.01,NA(),('DCF - FCFF'!$B$23*SUMPRODUCT(POWER(1+'DCF - FCFF'!$D$23,{1,2,3,4,5})/POWER(1+$A38,{1,2,3,4,5}))+'DCF - FCFF'!$B$23*POWER(1+'DCF - FCFF'!$D$23,5)*(1+G$29)/($A38-G$29)/POWER(1+$A38,5)-'DCF - FCFF'!$O$23)/'DCF - FCFF'!$Q$23)</f>
        <v/>
      </c>
      <c r="H38" s="13">
        <f>IF($A38-H$29&lt;0.01,NA(),('DCF - FCFF'!$B$23*SUMPRODUCT(POWER(1+'DCF - FCFF'!$D$23,{1,2,3,4,5})/POWER(1+$A38,{1,2,3,4,5}))+'DCF - FCFF'!$B$23*POWER(1+'DCF - FCFF'!$D$23,5)*(1+H$29)/($A38-H$29)/POWER(1+$A38,5)-'DCF - FCFF'!$O$23)/'DCF - FCFF'!$Q$23)</f>
        <v/>
      </c>
      <c r="I38" s="13">
        <f>IF($A38-I$29&lt;0.01,NA(),('DCF - FCFF'!$B$23*SUMPRODUCT(POWER(1+'DCF - FCFF'!$D$23,{1,2,3,4,5})/POWER(1+$A38,{1,2,3,4,5}))+'DCF - FCFF'!$B$23*POWER(1+'DCF - FCFF'!$D$23,5)*(1+I$29)/($A38-I$29)/POWER(1+$A38,5)-'DCF - FCFF'!$O$23)/'DCF - FCFF'!$Q$23)</f>
        <v/>
      </c>
      <c r="J38" s="13">
        <f>IF($A38-J$29&lt;0.01,NA(),('DCF - FCFF'!$B$23*SUMPRODUCT(POWER(1+'DCF - FCFF'!$D$23,{1,2,3,4,5})/POWER(1+$A38,{1,2,3,4,5}))+'DCF - FCFF'!$B$23*POWER(1+'DCF - FCFF'!$D$23,5)*(1+J$29)/($A38-J$29)/POWER(1+$A38,5)-'DCF - FCFF'!$O$23)/'DCF - FCFF'!$Q$23)</f>
        <v/>
      </c>
    </row>
    <row r="40">
      <c r="A40" s="3" t="inlineStr">
        <is>
          <t>Marico</t>
        </is>
      </c>
      <c r="B40" s="13">
        <f>'Market Data'!$C$5</f>
        <v/>
      </c>
      <c r="C40" s="2" t="inlineStr">
        <is>
          <t>← market price · rows: WACC · cols: terminal g</t>
        </is>
      </c>
    </row>
    <row r="41">
      <c r="B41" s="24" t="n">
        <v>0.01</v>
      </c>
      <c r="C41" s="24" t="n">
        <v>0.015</v>
      </c>
      <c r="D41" s="24" t="n">
        <v>0.02</v>
      </c>
      <c r="E41" s="24" t="n">
        <v>0.025</v>
      </c>
      <c r="F41" s="24" t="n">
        <v>0.03</v>
      </c>
      <c r="G41" s="24" t="n">
        <v>0.035</v>
      </c>
      <c r="H41" s="24" t="n">
        <v>0.04</v>
      </c>
      <c r="I41" s="24" t="n">
        <v>0.045</v>
      </c>
      <c r="J41" s="24" t="n">
        <v>0.05</v>
      </c>
    </row>
    <row r="42">
      <c r="A42" s="25">
        <f>'DCF - FCFF'!$E$24-0.02</f>
        <v/>
      </c>
      <c r="B42" s="13">
        <f>IF($A42-B$41&lt;0.01,NA(),('DCF - FCFF'!$B$24*SUMPRODUCT(POWER(1+'DCF - FCFF'!$D$24,{1,2,3,4,5})/POWER(1+$A42,{1,2,3,4,5}))+'DCF - FCFF'!$B$24*POWER(1+'DCF - FCFF'!$D$24,5)*(1+B$41)/($A42-B$41)/POWER(1+$A42,5)-'DCF - FCFF'!$O$24)/'DCF - FCFF'!$Q$24)</f>
        <v/>
      </c>
      <c r="C42" s="13">
        <f>IF($A42-C$41&lt;0.01,NA(),('DCF - FCFF'!$B$24*SUMPRODUCT(POWER(1+'DCF - FCFF'!$D$24,{1,2,3,4,5})/POWER(1+$A42,{1,2,3,4,5}))+'DCF - FCFF'!$B$24*POWER(1+'DCF - FCFF'!$D$24,5)*(1+C$41)/($A42-C$41)/POWER(1+$A42,5)-'DCF - FCFF'!$O$24)/'DCF - FCFF'!$Q$24)</f>
        <v/>
      </c>
      <c r="D42" s="13">
        <f>IF($A42-D$41&lt;0.01,NA(),('DCF - FCFF'!$B$24*SUMPRODUCT(POWER(1+'DCF - FCFF'!$D$24,{1,2,3,4,5})/POWER(1+$A42,{1,2,3,4,5}))+'DCF - FCFF'!$B$24*POWER(1+'DCF - FCFF'!$D$24,5)*(1+D$41)/($A42-D$41)/POWER(1+$A42,5)-'DCF - FCFF'!$O$24)/'DCF - FCFF'!$Q$24)</f>
        <v/>
      </c>
      <c r="E42" s="13">
        <f>IF($A42-E$41&lt;0.01,NA(),('DCF - FCFF'!$B$24*SUMPRODUCT(POWER(1+'DCF - FCFF'!$D$24,{1,2,3,4,5})/POWER(1+$A42,{1,2,3,4,5}))+'DCF - FCFF'!$B$24*POWER(1+'DCF - FCFF'!$D$24,5)*(1+E$41)/($A42-E$41)/POWER(1+$A42,5)-'DCF - FCFF'!$O$24)/'DCF - FCFF'!$Q$24)</f>
        <v/>
      </c>
      <c r="F42" s="13">
        <f>IF($A42-F$41&lt;0.01,NA(),('DCF - FCFF'!$B$24*SUMPRODUCT(POWER(1+'DCF - FCFF'!$D$24,{1,2,3,4,5})/POWER(1+$A42,{1,2,3,4,5}))+'DCF - FCFF'!$B$24*POWER(1+'DCF - FCFF'!$D$24,5)*(1+F$41)/($A42-F$41)/POWER(1+$A42,5)-'DCF - FCFF'!$O$24)/'DCF - FCFF'!$Q$24)</f>
        <v/>
      </c>
      <c r="G42" s="13">
        <f>IF($A42-G$41&lt;0.01,NA(),('DCF - FCFF'!$B$24*SUMPRODUCT(POWER(1+'DCF - FCFF'!$D$24,{1,2,3,4,5})/POWER(1+$A42,{1,2,3,4,5}))+'DCF - FCFF'!$B$24*POWER(1+'DCF - FCFF'!$D$24,5)*(1+G$41)/($A42-G$41)/POWER(1+$A42,5)-'DCF - FCFF'!$O$24)/'DCF - FCFF'!$Q$24)</f>
        <v/>
      </c>
      <c r="H42" s="13">
        <f>IF($A42-H$41&lt;0.01,NA(),('DCF - FCFF'!$B$24*SUMPRODUCT(POWER(1+'DCF - FCFF'!$D$24,{1,2,3,4,5})/POWER(1+$A42,{1,2,3,4,5}))+'DCF - FCFF'!$B$24*POWER(1+'DCF - FCFF'!$D$24,5)*(1+H$41)/($A42-H$41)/POWER(1+$A42,5)-'DCF - FCFF'!$O$24)/'DCF - FCFF'!$Q$24)</f>
        <v/>
      </c>
      <c r="I42" s="13">
        <f>IF($A42-I$41&lt;0.01,NA(),('DCF - FCFF'!$B$24*SUMPRODUCT(POWER(1+'DCF - FCFF'!$D$24,{1,2,3,4,5})/POWER(1+$A42,{1,2,3,4,5}))+'DCF - FCFF'!$B$24*POWER(1+'DCF - FCFF'!$D$24,5)*(1+I$41)/($A42-I$41)/POWER(1+$A42,5)-'DCF - FCFF'!$O$24)/'DCF - FCFF'!$Q$24)</f>
        <v/>
      </c>
      <c r="J42" s="13">
        <f>IF($A42-J$41&lt;0.01,NA(),('DCF - FCFF'!$B$24*SUMPRODUCT(POWER(1+'DCF - FCFF'!$D$24,{1,2,3,4,5})/POWER(1+$A42,{1,2,3,4,5}))+'DCF - FCFF'!$B$24*POWER(1+'DCF - FCFF'!$D$24,5)*(1+J$41)/($A42-J$41)/POWER(1+$A42,5)-'DCF - FCFF'!$O$24)/'DCF - FCFF'!$Q$24)</f>
        <v/>
      </c>
    </row>
    <row r="43">
      <c r="A43" s="25">
        <f>'DCF - FCFF'!$E$24-0.015</f>
        <v/>
      </c>
      <c r="B43" s="13">
        <f>IF($A43-B$41&lt;0.01,NA(),('DCF - FCFF'!$B$24*SUMPRODUCT(POWER(1+'DCF - FCFF'!$D$24,{1,2,3,4,5})/POWER(1+$A43,{1,2,3,4,5}))+'DCF - FCFF'!$B$24*POWER(1+'DCF - FCFF'!$D$24,5)*(1+B$41)/($A43-B$41)/POWER(1+$A43,5)-'DCF - FCFF'!$O$24)/'DCF - FCFF'!$Q$24)</f>
        <v/>
      </c>
      <c r="C43" s="13">
        <f>IF($A43-C$41&lt;0.01,NA(),('DCF - FCFF'!$B$24*SUMPRODUCT(POWER(1+'DCF - FCFF'!$D$24,{1,2,3,4,5})/POWER(1+$A43,{1,2,3,4,5}))+'DCF - FCFF'!$B$24*POWER(1+'DCF - FCFF'!$D$24,5)*(1+C$41)/($A43-C$41)/POWER(1+$A43,5)-'DCF - FCFF'!$O$24)/'DCF - FCFF'!$Q$24)</f>
        <v/>
      </c>
      <c r="D43" s="13">
        <f>IF($A43-D$41&lt;0.01,NA(),('DCF - FCFF'!$B$24*SUMPRODUCT(POWER(1+'DCF - FCFF'!$D$24,{1,2,3,4,5})/POWER(1+$A43,{1,2,3,4,5}))+'DCF - FCFF'!$B$24*POWER(1+'DCF - FCFF'!$D$24,5)*(1+D$41)/($A43-D$41)/POWER(1+$A43,5)-'DCF - FCFF'!$O$24)/'DCF - FCFF'!$Q$24)</f>
        <v/>
      </c>
      <c r="E43" s="13">
        <f>IF($A43-E$41&lt;0.01,NA(),('DCF - FCFF'!$B$24*SUMPRODUCT(POWER(1+'DCF - FCFF'!$D$24,{1,2,3,4,5})/POWER(1+$A43,{1,2,3,4,5}))+'DCF - FCFF'!$B$24*POWER(1+'DCF - FCFF'!$D$24,5)*(1+E$41)/($A43-E$41)/POWER(1+$A43,5)-'DCF - FCFF'!$O$24)/'DCF - FCFF'!$Q$24)</f>
        <v/>
      </c>
      <c r="F43" s="13">
        <f>IF($A43-F$41&lt;0.01,NA(),('DCF - FCFF'!$B$24*SUMPRODUCT(POWER(1+'DCF - FCFF'!$D$24,{1,2,3,4,5})/POWER(1+$A43,{1,2,3,4,5}))+'DCF - FCFF'!$B$24*POWER(1+'DCF - FCFF'!$D$24,5)*(1+F$41)/($A43-F$41)/POWER(1+$A43,5)-'DCF - FCFF'!$O$24)/'DCF - FCFF'!$Q$24)</f>
        <v/>
      </c>
      <c r="G43" s="13">
        <f>IF($A43-G$41&lt;0.01,NA(),('DCF - FCFF'!$B$24*SUMPRODUCT(POWER(1+'DCF - FCFF'!$D$24,{1,2,3,4,5})/POWER(1+$A43,{1,2,3,4,5}))+'DCF - FCFF'!$B$24*POWER(1+'DCF - FCFF'!$D$24,5)*(1+G$41)/($A43-G$41)/POWER(1+$A43,5)-'DCF - FCFF'!$O$24)/'DCF - FCFF'!$Q$24)</f>
        <v/>
      </c>
      <c r="H43" s="13">
        <f>IF($A43-H$41&lt;0.01,NA(),('DCF - FCFF'!$B$24*SUMPRODUCT(POWER(1+'DCF - FCFF'!$D$24,{1,2,3,4,5})/POWER(1+$A43,{1,2,3,4,5}))+'DCF - FCFF'!$B$24*POWER(1+'DCF - FCFF'!$D$24,5)*(1+H$41)/($A43-H$41)/POWER(1+$A43,5)-'DCF - FCFF'!$O$24)/'DCF - FCFF'!$Q$24)</f>
        <v/>
      </c>
      <c r="I43" s="13">
        <f>IF($A43-I$41&lt;0.01,NA(),('DCF - FCFF'!$B$24*SUMPRODUCT(POWER(1+'DCF - FCFF'!$D$24,{1,2,3,4,5})/POWER(1+$A43,{1,2,3,4,5}))+'DCF - FCFF'!$B$24*POWER(1+'DCF - FCFF'!$D$24,5)*(1+I$41)/($A43-I$41)/POWER(1+$A43,5)-'DCF - FCFF'!$O$24)/'DCF - FCFF'!$Q$24)</f>
        <v/>
      </c>
      <c r="J43" s="13">
        <f>IF($A43-J$41&lt;0.01,NA(),('DCF - FCFF'!$B$24*SUMPRODUCT(POWER(1+'DCF - FCFF'!$D$24,{1,2,3,4,5})/POWER(1+$A43,{1,2,3,4,5}))+'DCF - FCFF'!$B$24*POWER(1+'DCF - FCFF'!$D$24,5)*(1+J$41)/($A43-J$41)/POWER(1+$A43,5)-'DCF - FCFF'!$O$24)/'DCF - FCFF'!$Q$24)</f>
        <v/>
      </c>
    </row>
    <row r="44">
      <c r="A44" s="25">
        <f>'DCF - FCFF'!$E$24-0.01</f>
        <v/>
      </c>
      <c r="B44" s="13">
        <f>IF($A44-B$41&lt;0.01,NA(),('DCF - FCFF'!$B$24*SUMPRODUCT(POWER(1+'DCF - FCFF'!$D$24,{1,2,3,4,5})/POWER(1+$A44,{1,2,3,4,5}))+'DCF - FCFF'!$B$24*POWER(1+'DCF - FCFF'!$D$24,5)*(1+B$41)/($A44-B$41)/POWER(1+$A44,5)-'DCF - FCFF'!$O$24)/'DCF - FCFF'!$Q$24)</f>
        <v/>
      </c>
      <c r="C44" s="13">
        <f>IF($A44-C$41&lt;0.01,NA(),('DCF - FCFF'!$B$24*SUMPRODUCT(POWER(1+'DCF - FCFF'!$D$24,{1,2,3,4,5})/POWER(1+$A44,{1,2,3,4,5}))+'DCF - FCFF'!$B$24*POWER(1+'DCF - FCFF'!$D$24,5)*(1+C$41)/($A44-C$41)/POWER(1+$A44,5)-'DCF - FCFF'!$O$24)/'DCF - FCFF'!$Q$24)</f>
        <v/>
      </c>
      <c r="D44" s="13">
        <f>IF($A44-D$41&lt;0.01,NA(),('DCF - FCFF'!$B$24*SUMPRODUCT(POWER(1+'DCF - FCFF'!$D$24,{1,2,3,4,5})/POWER(1+$A44,{1,2,3,4,5}))+'DCF - FCFF'!$B$24*POWER(1+'DCF - FCFF'!$D$24,5)*(1+D$41)/($A44-D$41)/POWER(1+$A44,5)-'DCF - FCFF'!$O$24)/'DCF - FCFF'!$Q$24)</f>
        <v/>
      </c>
      <c r="E44" s="13">
        <f>IF($A44-E$41&lt;0.01,NA(),('DCF - FCFF'!$B$24*SUMPRODUCT(POWER(1+'DCF - FCFF'!$D$24,{1,2,3,4,5})/POWER(1+$A44,{1,2,3,4,5}))+'DCF - FCFF'!$B$24*POWER(1+'DCF - FCFF'!$D$24,5)*(1+E$41)/($A44-E$41)/POWER(1+$A44,5)-'DCF - FCFF'!$O$24)/'DCF - FCFF'!$Q$24)</f>
        <v/>
      </c>
      <c r="F44" s="13">
        <f>IF($A44-F$41&lt;0.01,NA(),('DCF - FCFF'!$B$24*SUMPRODUCT(POWER(1+'DCF - FCFF'!$D$24,{1,2,3,4,5})/POWER(1+$A44,{1,2,3,4,5}))+'DCF - FCFF'!$B$24*POWER(1+'DCF - FCFF'!$D$24,5)*(1+F$41)/($A44-F$41)/POWER(1+$A44,5)-'DCF - FCFF'!$O$24)/'DCF - FCFF'!$Q$24)</f>
        <v/>
      </c>
      <c r="G44" s="13">
        <f>IF($A44-G$41&lt;0.01,NA(),('DCF - FCFF'!$B$24*SUMPRODUCT(POWER(1+'DCF - FCFF'!$D$24,{1,2,3,4,5})/POWER(1+$A44,{1,2,3,4,5}))+'DCF - FCFF'!$B$24*POWER(1+'DCF - FCFF'!$D$24,5)*(1+G$41)/($A44-G$41)/POWER(1+$A44,5)-'DCF - FCFF'!$O$24)/'DCF - FCFF'!$Q$24)</f>
        <v/>
      </c>
      <c r="H44" s="13">
        <f>IF($A44-H$41&lt;0.01,NA(),('DCF - FCFF'!$B$24*SUMPRODUCT(POWER(1+'DCF - FCFF'!$D$24,{1,2,3,4,5})/POWER(1+$A44,{1,2,3,4,5}))+'DCF - FCFF'!$B$24*POWER(1+'DCF - FCFF'!$D$24,5)*(1+H$41)/($A44-H$41)/POWER(1+$A44,5)-'DCF - FCFF'!$O$24)/'DCF - FCFF'!$Q$24)</f>
        <v/>
      </c>
      <c r="I44" s="13">
        <f>IF($A44-I$41&lt;0.01,NA(),('DCF - FCFF'!$B$24*SUMPRODUCT(POWER(1+'DCF - FCFF'!$D$24,{1,2,3,4,5})/POWER(1+$A44,{1,2,3,4,5}))+'DCF - FCFF'!$B$24*POWER(1+'DCF - FCFF'!$D$24,5)*(1+I$41)/($A44-I$41)/POWER(1+$A44,5)-'DCF - FCFF'!$O$24)/'DCF - FCFF'!$Q$24)</f>
        <v/>
      </c>
      <c r="J44" s="13">
        <f>IF($A44-J$41&lt;0.01,NA(),('DCF - FCFF'!$B$24*SUMPRODUCT(POWER(1+'DCF - FCFF'!$D$24,{1,2,3,4,5})/POWER(1+$A44,{1,2,3,4,5}))+'DCF - FCFF'!$B$24*POWER(1+'DCF - FCFF'!$D$24,5)*(1+J$41)/($A44-J$41)/POWER(1+$A44,5)-'DCF - FCFF'!$O$24)/'DCF - FCFF'!$Q$24)</f>
        <v/>
      </c>
    </row>
    <row r="45">
      <c r="A45" s="25">
        <f>'DCF - FCFF'!$E$24-0.005</f>
        <v/>
      </c>
      <c r="B45" s="13">
        <f>IF($A45-B$41&lt;0.01,NA(),('DCF - FCFF'!$B$24*SUMPRODUCT(POWER(1+'DCF - FCFF'!$D$24,{1,2,3,4,5})/POWER(1+$A45,{1,2,3,4,5}))+'DCF - FCFF'!$B$24*POWER(1+'DCF - FCFF'!$D$24,5)*(1+B$41)/($A45-B$41)/POWER(1+$A45,5)-'DCF - FCFF'!$O$24)/'DCF - FCFF'!$Q$24)</f>
        <v/>
      </c>
      <c r="C45" s="13">
        <f>IF($A45-C$41&lt;0.01,NA(),('DCF - FCFF'!$B$24*SUMPRODUCT(POWER(1+'DCF - FCFF'!$D$24,{1,2,3,4,5})/POWER(1+$A45,{1,2,3,4,5}))+'DCF - FCFF'!$B$24*POWER(1+'DCF - FCFF'!$D$24,5)*(1+C$41)/($A45-C$41)/POWER(1+$A45,5)-'DCF - FCFF'!$O$24)/'DCF - FCFF'!$Q$24)</f>
        <v/>
      </c>
      <c r="D45" s="13">
        <f>IF($A45-D$41&lt;0.01,NA(),('DCF - FCFF'!$B$24*SUMPRODUCT(POWER(1+'DCF - FCFF'!$D$24,{1,2,3,4,5})/POWER(1+$A45,{1,2,3,4,5}))+'DCF - FCFF'!$B$24*POWER(1+'DCF - FCFF'!$D$24,5)*(1+D$41)/($A45-D$41)/POWER(1+$A45,5)-'DCF - FCFF'!$O$24)/'DCF - FCFF'!$Q$24)</f>
        <v/>
      </c>
      <c r="E45" s="13">
        <f>IF($A45-E$41&lt;0.01,NA(),('DCF - FCFF'!$B$24*SUMPRODUCT(POWER(1+'DCF - FCFF'!$D$24,{1,2,3,4,5})/POWER(1+$A45,{1,2,3,4,5}))+'DCF - FCFF'!$B$24*POWER(1+'DCF - FCFF'!$D$24,5)*(1+E$41)/($A45-E$41)/POWER(1+$A45,5)-'DCF - FCFF'!$O$24)/'DCF - FCFF'!$Q$24)</f>
        <v/>
      </c>
      <c r="F45" s="13">
        <f>IF($A45-F$41&lt;0.01,NA(),('DCF - FCFF'!$B$24*SUMPRODUCT(POWER(1+'DCF - FCFF'!$D$24,{1,2,3,4,5})/POWER(1+$A45,{1,2,3,4,5}))+'DCF - FCFF'!$B$24*POWER(1+'DCF - FCFF'!$D$24,5)*(1+F$41)/($A45-F$41)/POWER(1+$A45,5)-'DCF - FCFF'!$O$24)/'DCF - FCFF'!$Q$24)</f>
        <v/>
      </c>
      <c r="G45" s="13">
        <f>IF($A45-G$41&lt;0.01,NA(),('DCF - FCFF'!$B$24*SUMPRODUCT(POWER(1+'DCF - FCFF'!$D$24,{1,2,3,4,5})/POWER(1+$A45,{1,2,3,4,5}))+'DCF - FCFF'!$B$24*POWER(1+'DCF - FCFF'!$D$24,5)*(1+G$41)/($A45-G$41)/POWER(1+$A45,5)-'DCF - FCFF'!$O$24)/'DCF - FCFF'!$Q$24)</f>
        <v/>
      </c>
      <c r="H45" s="13">
        <f>IF($A45-H$41&lt;0.01,NA(),('DCF - FCFF'!$B$24*SUMPRODUCT(POWER(1+'DCF - FCFF'!$D$24,{1,2,3,4,5})/POWER(1+$A45,{1,2,3,4,5}))+'DCF - FCFF'!$B$24*POWER(1+'DCF - FCFF'!$D$24,5)*(1+H$41)/($A45-H$41)/POWER(1+$A45,5)-'DCF - FCFF'!$O$24)/'DCF - FCFF'!$Q$24)</f>
        <v/>
      </c>
      <c r="I45" s="13">
        <f>IF($A45-I$41&lt;0.01,NA(),('DCF - FCFF'!$B$24*SUMPRODUCT(POWER(1+'DCF - FCFF'!$D$24,{1,2,3,4,5})/POWER(1+$A45,{1,2,3,4,5}))+'DCF - FCFF'!$B$24*POWER(1+'DCF - FCFF'!$D$24,5)*(1+I$41)/($A45-I$41)/POWER(1+$A45,5)-'DCF - FCFF'!$O$24)/'DCF - FCFF'!$Q$24)</f>
        <v/>
      </c>
      <c r="J45" s="13">
        <f>IF($A45-J$41&lt;0.01,NA(),('DCF - FCFF'!$B$24*SUMPRODUCT(POWER(1+'DCF - FCFF'!$D$24,{1,2,3,4,5})/POWER(1+$A45,{1,2,3,4,5}))+'DCF - FCFF'!$B$24*POWER(1+'DCF - FCFF'!$D$24,5)*(1+J$41)/($A45-J$41)/POWER(1+$A45,5)-'DCF - FCFF'!$O$24)/'DCF - FCFF'!$Q$24)</f>
        <v/>
      </c>
    </row>
    <row r="46">
      <c r="A46" s="25">
        <f>'DCF - FCFF'!$E$24+0.0</f>
        <v/>
      </c>
      <c r="B46" s="13">
        <f>IF($A46-B$41&lt;0.01,NA(),('DCF - FCFF'!$B$24*SUMPRODUCT(POWER(1+'DCF - FCFF'!$D$24,{1,2,3,4,5})/POWER(1+$A46,{1,2,3,4,5}))+'DCF - FCFF'!$B$24*POWER(1+'DCF - FCFF'!$D$24,5)*(1+B$41)/($A46-B$41)/POWER(1+$A46,5)-'DCF - FCFF'!$O$24)/'DCF - FCFF'!$Q$24)</f>
        <v/>
      </c>
      <c r="C46" s="13">
        <f>IF($A46-C$41&lt;0.01,NA(),('DCF - FCFF'!$B$24*SUMPRODUCT(POWER(1+'DCF - FCFF'!$D$24,{1,2,3,4,5})/POWER(1+$A46,{1,2,3,4,5}))+'DCF - FCFF'!$B$24*POWER(1+'DCF - FCFF'!$D$24,5)*(1+C$41)/($A46-C$41)/POWER(1+$A46,5)-'DCF - FCFF'!$O$24)/'DCF - FCFF'!$Q$24)</f>
        <v/>
      </c>
      <c r="D46" s="13">
        <f>IF($A46-D$41&lt;0.01,NA(),('DCF - FCFF'!$B$24*SUMPRODUCT(POWER(1+'DCF - FCFF'!$D$24,{1,2,3,4,5})/POWER(1+$A46,{1,2,3,4,5}))+'DCF - FCFF'!$B$24*POWER(1+'DCF - FCFF'!$D$24,5)*(1+D$41)/($A46-D$41)/POWER(1+$A46,5)-'DCF - FCFF'!$O$24)/'DCF - FCFF'!$Q$24)</f>
        <v/>
      </c>
      <c r="E46" s="13">
        <f>IF($A46-E$41&lt;0.01,NA(),('DCF - FCFF'!$B$24*SUMPRODUCT(POWER(1+'DCF - FCFF'!$D$24,{1,2,3,4,5})/POWER(1+$A46,{1,2,3,4,5}))+'DCF - FCFF'!$B$24*POWER(1+'DCF - FCFF'!$D$24,5)*(1+E$41)/($A46-E$41)/POWER(1+$A46,5)-'DCF - FCFF'!$O$24)/'DCF - FCFF'!$Q$24)</f>
        <v/>
      </c>
      <c r="F46" s="13">
        <f>IF($A46-F$41&lt;0.01,NA(),('DCF - FCFF'!$B$24*SUMPRODUCT(POWER(1+'DCF - FCFF'!$D$24,{1,2,3,4,5})/POWER(1+$A46,{1,2,3,4,5}))+'DCF - FCFF'!$B$24*POWER(1+'DCF - FCFF'!$D$24,5)*(1+F$41)/($A46-F$41)/POWER(1+$A46,5)-'DCF - FCFF'!$O$24)/'DCF - FCFF'!$Q$24)</f>
        <v/>
      </c>
      <c r="G46" s="13">
        <f>IF($A46-G$41&lt;0.01,NA(),('DCF - FCFF'!$B$24*SUMPRODUCT(POWER(1+'DCF - FCFF'!$D$24,{1,2,3,4,5})/POWER(1+$A46,{1,2,3,4,5}))+'DCF - FCFF'!$B$24*POWER(1+'DCF - FCFF'!$D$24,5)*(1+G$41)/($A46-G$41)/POWER(1+$A46,5)-'DCF - FCFF'!$O$24)/'DCF - FCFF'!$Q$24)</f>
        <v/>
      </c>
      <c r="H46" s="34">
        <f>IF($A46-H$41&lt;0.01,NA(),('DCF - FCFF'!$B$24*SUMPRODUCT(POWER(1+'DCF - FCFF'!$D$24,{1,2,3,4,5})/POWER(1+$A46,{1,2,3,4,5}))+'DCF - FCFF'!$B$24*POWER(1+'DCF - FCFF'!$D$24,5)*(1+H$41)/($A46-H$41)/POWER(1+$A46,5)-'DCF - FCFF'!$O$24)/'DCF - FCFF'!$Q$24)</f>
        <v/>
      </c>
      <c r="I46" s="13">
        <f>IF($A46-I$41&lt;0.01,NA(),('DCF - FCFF'!$B$24*SUMPRODUCT(POWER(1+'DCF - FCFF'!$D$24,{1,2,3,4,5})/POWER(1+$A46,{1,2,3,4,5}))+'DCF - FCFF'!$B$24*POWER(1+'DCF - FCFF'!$D$24,5)*(1+I$41)/($A46-I$41)/POWER(1+$A46,5)-'DCF - FCFF'!$O$24)/'DCF - FCFF'!$Q$24)</f>
        <v/>
      </c>
      <c r="J46" s="13">
        <f>IF($A46-J$41&lt;0.01,NA(),('DCF - FCFF'!$B$24*SUMPRODUCT(POWER(1+'DCF - FCFF'!$D$24,{1,2,3,4,5})/POWER(1+$A46,{1,2,3,4,5}))+'DCF - FCFF'!$B$24*POWER(1+'DCF - FCFF'!$D$24,5)*(1+J$41)/($A46-J$41)/POWER(1+$A46,5)-'DCF - FCFF'!$O$24)/'DCF - FCFF'!$Q$24)</f>
        <v/>
      </c>
    </row>
    <row r="47">
      <c r="A47" s="25">
        <f>'DCF - FCFF'!$E$24+0.005</f>
        <v/>
      </c>
      <c r="B47" s="13">
        <f>IF($A47-B$41&lt;0.01,NA(),('DCF - FCFF'!$B$24*SUMPRODUCT(POWER(1+'DCF - FCFF'!$D$24,{1,2,3,4,5})/POWER(1+$A47,{1,2,3,4,5}))+'DCF - FCFF'!$B$24*POWER(1+'DCF - FCFF'!$D$24,5)*(1+B$41)/($A47-B$41)/POWER(1+$A47,5)-'DCF - FCFF'!$O$24)/'DCF - FCFF'!$Q$24)</f>
        <v/>
      </c>
      <c r="C47" s="13">
        <f>IF($A47-C$41&lt;0.01,NA(),('DCF - FCFF'!$B$24*SUMPRODUCT(POWER(1+'DCF - FCFF'!$D$24,{1,2,3,4,5})/POWER(1+$A47,{1,2,3,4,5}))+'DCF - FCFF'!$B$24*POWER(1+'DCF - FCFF'!$D$24,5)*(1+C$41)/($A47-C$41)/POWER(1+$A47,5)-'DCF - FCFF'!$O$24)/'DCF - FCFF'!$Q$24)</f>
        <v/>
      </c>
      <c r="D47" s="13">
        <f>IF($A47-D$41&lt;0.01,NA(),('DCF - FCFF'!$B$24*SUMPRODUCT(POWER(1+'DCF - FCFF'!$D$24,{1,2,3,4,5})/POWER(1+$A47,{1,2,3,4,5}))+'DCF - FCFF'!$B$24*POWER(1+'DCF - FCFF'!$D$24,5)*(1+D$41)/($A47-D$41)/POWER(1+$A47,5)-'DCF - FCFF'!$O$24)/'DCF - FCFF'!$Q$24)</f>
        <v/>
      </c>
      <c r="E47" s="13">
        <f>IF($A47-E$41&lt;0.01,NA(),('DCF - FCFF'!$B$24*SUMPRODUCT(POWER(1+'DCF - FCFF'!$D$24,{1,2,3,4,5})/POWER(1+$A47,{1,2,3,4,5}))+'DCF - FCFF'!$B$24*POWER(1+'DCF - FCFF'!$D$24,5)*(1+E$41)/($A47-E$41)/POWER(1+$A47,5)-'DCF - FCFF'!$O$24)/'DCF - FCFF'!$Q$24)</f>
        <v/>
      </c>
      <c r="F47" s="13">
        <f>IF($A47-F$41&lt;0.01,NA(),('DCF - FCFF'!$B$24*SUMPRODUCT(POWER(1+'DCF - FCFF'!$D$24,{1,2,3,4,5})/POWER(1+$A47,{1,2,3,4,5}))+'DCF - FCFF'!$B$24*POWER(1+'DCF - FCFF'!$D$24,5)*(1+F$41)/($A47-F$41)/POWER(1+$A47,5)-'DCF - FCFF'!$O$24)/'DCF - FCFF'!$Q$24)</f>
        <v/>
      </c>
      <c r="G47" s="13">
        <f>IF($A47-G$41&lt;0.01,NA(),('DCF - FCFF'!$B$24*SUMPRODUCT(POWER(1+'DCF - FCFF'!$D$24,{1,2,3,4,5})/POWER(1+$A47,{1,2,3,4,5}))+'DCF - FCFF'!$B$24*POWER(1+'DCF - FCFF'!$D$24,5)*(1+G$41)/($A47-G$41)/POWER(1+$A47,5)-'DCF - FCFF'!$O$24)/'DCF - FCFF'!$Q$24)</f>
        <v/>
      </c>
      <c r="H47" s="13">
        <f>IF($A47-H$41&lt;0.01,NA(),('DCF - FCFF'!$B$24*SUMPRODUCT(POWER(1+'DCF - FCFF'!$D$24,{1,2,3,4,5})/POWER(1+$A47,{1,2,3,4,5}))+'DCF - FCFF'!$B$24*POWER(1+'DCF - FCFF'!$D$24,5)*(1+H$41)/($A47-H$41)/POWER(1+$A47,5)-'DCF - FCFF'!$O$24)/'DCF - FCFF'!$Q$24)</f>
        <v/>
      </c>
      <c r="I47" s="13">
        <f>IF($A47-I$41&lt;0.01,NA(),('DCF - FCFF'!$B$24*SUMPRODUCT(POWER(1+'DCF - FCFF'!$D$24,{1,2,3,4,5})/POWER(1+$A47,{1,2,3,4,5}))+'DCF - FCFF'!$B$24*POWER(1+'DCF - FCFF'!$D$24,5)*(1+I$41)/($A47-I$41)/POWER(1+$A47,5)-'DCF - FCFF'!$O$24)/'DCF - FCFF'!$Q$24)</f>
        <v/>
      </c>
      <c r="J47" s="13">
        <f>IF($A47-J$41&lt;0.01,NA(),('DCF - FCFF'!$B$24*SUMPRODUCT(POWER(1+'DCF - FCFF'!$D$24,{1,2,3,4,5})/POWER(1+$A47,{1,2,3,4,5}))+'DCF - FCFF'!$B$24*POWER(1+'DCF - FCFF'!$D$24,5)*(1+J$41)/($A47-J$41)/POWER(1+$A47,5)-'DCF - FCFF'!$O$24)/'DCF - FCFF'!$Q$24)</f>
        <v/>
      </c>
    </row>
    <row r="48">
      <c r="A48" s="25">
        <f>'DCF - FCFF'!$E$24+0.01</f>
        <v/>
      </c>
      <c r="B48" s="13">
        <f>IF($A48-B$41&lt;0.01,NA(),('DCF - FCFF'!$B$24*SUMPRODUCT(POWER(1+'DCF - FCFF'!$D$24,{1,2,3,4,5})/POWER(1+$A48,{1,2,3,4,5}))+'DCF - FCFF'!$B$24*POWER(1+'DCF - FCFF'!$D$24,5)*(1+B$41)/($A48-B$41)/POWER(1+$A48,5)-'DCF - FCFF'!$O$24)/'DCF - FCFF'!$Q$24)</f>
        <v/>
      </c>
      <c r="C48" s="13">
        <f>IF($A48-C$41&lt;0.01,NA(),('DCF - FCFF'!$B$24*SUMPRODUCT(POWER(1+'DCF - FCFF'!$D$24,{1,2,3,4,5})/POWER(1+$A48,{1,2,3,4,5}))+'DCF - FCFF'!$B$24*POWER(1+'DCF - FCFF'!$D$24,5)*(1+C$41)/($A48-C$41)/POWER(1+$A48,5)-'DCF - FCFF'!$O$24)/'DCF - FCFF'!$Q$24)</f>
        <v/>
      </c>
      <c r="D48" s="13">
        <f>IF($A48-D$41&lt;0.01,NA(),('DCF - FCFF'!$B$24*SUMPRODUCT(POWER(1+'DCF - FCFF'!$D$24,{1,2,3,4,5})/POWER(1+$A48,{1,2,3,4,5}))+'DCF - FCFF'!$B$24*POWER(1+'DCF - FCFF'!$D$24,5)*(1+D$41)/($A48-D$41)/POWER(1+$A48,5)-'DCF - FCFF'!$O$24)/'DCF - FCFF'!$Q$24)</f>
        <v/>
      </c>
      <c r="E48" s="13">
        <f>IF($A48-E$41&lt;0.01,NA(),('DCF - FCFF'!$B$24*SUMPRODUCT(POWER(1+'DCF - FCFF'!$D$24,{1,2,3,4,5})/POWER(1+$A48,{1,2,3,4,5}))+'DCF - FCFF'!$B$24*POWER(1+'DCF - FCFF'!$D$24,5)*(1+E$41)/($A48-E$41)/POWER(1+$A48,5)-'DCF - FCFF'!$O$24)/'DCF - FCFF'!$Q$24)</f>
        <v/>
      </c>
      <c r="F48" s="13">
        <f>IF($A48-F$41&lt;0.01,NA(),('DCF - FCFF'!$B$24*SUMPRODUCT(POWER(1+'DCF - FCFF'!$D$24,{1,2,3,4,5})/POWER(1+$A48,{1,2,3,4,5}))+'DCF - FCFF'!$B$24*POWER(1+'DCF - FCFF'!$D$24,5)*(1+F$41)/($A48-F$41)/POWER(1+$A48,5)-'DCF - FCFF'!$O$24)/'DCF - FCFF'!$Q$24)</f>
        <v/>
      </c>
      <c r="G48" s="13">
        <f>IF($A48-G$41&lt;0.01,NA(),('DCF - FCFF'!$B$24*SUMPRODUCT(POWER(1+'DCF - FCFF'!$D$24,{1,2,3,4,5})/POWER(1+$A48,{1,2,3,4,5}))+'DCF - FCFF'!$B$24*POWER(1+'DCF - FCFF'!$D$24,5)*(1+G$41)/($A48-G$41)/POWER(1+$A48,5)-'DCF - FCFF'!$O$24)/'DCF - FCFF'!$Q$24)</f>
        <v/>
      </c>
      <c r="H48" s="13">
        <f>IF($A48-H$41&lt;0.01,NA(),('DCF - FCFF'!$B$24*SUMPRODUCT(POWER(1+'DCF - FCFF'!$D$24,{1,2,3,4,5})/POWER(1+$A48,{1,2,3,4,5}))+'DCF - FCFF'!$B$24*POWER(1+'DCF - FCFF'!$D$24,5)*(1+H$41)/($A48-H$41)/POWER(1+$A48,5)-'DCF - FCFF'!$O$24)/'DCF - FCFF'!$Q$24)</f>
        <v/>
      </c>
      <c r="I48" s="13">
        <f>IF($A48-I$41&lt;0.01,NA(),('DCF - FCFF'!$B$24*SUMPRODUCT(POWER(1+'DCF - FCFF'!$D$24,{1,2,3,4,5})/POWER(1+$A48,{1,2,3,4,5}))+'DCF - FCFF'!$B$24*POWER(1+'DCF - FCFF'!$D$24,5)*(1+I$41)/($A48-I$41)/POWER(1+$A48,5)-'DCF - FCFF'!$O$24)/'DCF - FCFF'!$Q$24)</f>
        <v/>
      </c>
      <c r="J48" s="13">
        <f>IF($A48-J$41&lt;0.01,NA(),('DCF - FCFF'!$B$24*SUMPRODUCT(POWER(1+'DCF - FCFF'!$D$24,{1,2,3,4,5})/POWER(1+$A48,{1,2,3,4,5}))+'DCF - FCFF'!$B$24*POWER(1+'DCF - FCFF'!$D$24,5)*(1+J$41)/($A48-J$41)/POWER(1+$A48,5)-'DCF - FCFF'!$O$24)/'DCF - FCFF'!$Q$24)</f>
        <v/>
      </c>
    </row>
    <row r="49">
      <c r="A49" s="25">
        <f>'DCF - FCFF'!$E$24+0.015</f>
        <v/>
      </c>
      <c r="B49" s="13">
        <f>IF($A49-B$41&lt;0.01,NA(),('DCF - FCFF'!$B$24*SUMPRODUCT(POWER(1+'DCF - FCFF'!$D$24,{1,2,3,4,5})/POWER(1+$A49,{1,2,3,4,5}))+'DCF - FCFF'!$B$24*POWER(1+'DCF - FCFF'!$D$24,5)*(1+B$41)/($A49-B$41)/POWER(1+$A49,5)-'DCF - FCFF'!$O$24)/'DCF - FCFF'!$Q$24)</f>
        <v/>
      </c>
      <c r="C49" s="13">
        <f>IF($A49-C$41&lt;0.01,NA(),('DCF - FCFF'!$B$24*SUMPRODUCT(POWER(1+'DCF - FCFF'!$D$24,{1,2,3,4,5})/POWER(1+$A49,{1,2,3,4,5}))+'DCF - FCFF'!$B$24*POWER(1+'DCF - FCFF'!$D$24,5)*(1+C$41)/($A49-C$41)/POWER(1+$A49,5)-'DCF - FCFF'!$O$24)/'DCF - FCFF'!$Q$24)</f>
        <v/>
      </c>
      <c r="D49" s="13">
        <f>IF($A49-D$41&lt;0.01,NA(),('DCF - FCFF'!$B$24*SUMPRODUCT(POWER(1+'DCF - FCFF'!$D$24,{1,2,3,4,5})/POWER(1+$A49,{1,2,3,4,5}))+'DCF - FCFF'!$B$24*POWER(1+'DCF - FCFF'!$D$24,5)*(1+D$41)/($A49-D$41)/POWER(1+$A49,5)-'DCF - FCFF'!$O$24)/'DCF - FCFF'!$Q$24)</f>
        <v/>
      </c>
      <c r="E49" s="13">
        <f>IF($A49-E$41&lt;0.01,NA(),('DCF - FCFF'!$B$24*SUMPRODUCT(POWER(1+'DCF - FCFF'!$D$24,{1,2,3,4,5})/POWER(1+$A49,{1,2,3,4,5}))+'DCF - FCFF'!$B$24*POWER(1+'DCF - FCFF'!$D$24,5)*(1+E$41)/($A49-E$41)/POWER(1+$A49,5)-'DCF - FCFF'!$O$24)/'DCF - FCFF'!$Q$24)</f>
        <v/>
      </c>
      <c r="F49" s="13">
        <f>IF($A49-F$41&lt;0.01,NA(),('DCF - FCFF'!$B$24*SUMPRODUCT(POWER(1+'DCF - FCFF'!$D$24,{1,2,3,4,5})/POWER(1+$A49,{1,2,3,4,5}))+'DCF - FCFF'!$B$24*POWER(1+'DCF - FCFF'!$D$24,5)*(1+F$41)/($A49-F$41)/POWER(1+$A49,5)-'DCF - FCFF'!$O$24)/'DCF - FCFF'!$Q$24)</f>
        <v/>
      </c>
      <c r="G49" s="13">
        <f>IF($A49-G$41&lt;0.01,NA(),('DCF - FCFF'!$B$24*SUMPRODUCT(POWER(1+'DCF - FCFF'!$D$24,{1,2,3,4,5})/POWER(1+$A49,{1,2,3,4,5}))+'DCF - FCFF'!$B$24*POWER(1+'DCF - FCFF'!$D$24,5)*(1+G$41)/($A49-G$41)/POWER(1+$A49,5)-'DCF - FCFF'!$O$24)/'DCF - FCFF'!$Q$24)</f>
        <v/>
      </c>
      <c r="H49" s="13">
        <f>IF($A49-H$41&lt;0.01,NA(),('DCF - FCFF'!$B$24*SUMPRODUCT(POWER(1+'DCF - FCFF'!$D$24,{1,2,3,4,5})/POWER(1+$A49,{1,2,3,4,5}))+'DCF - FCFF'!$B$24*POWER(1+'DCF - FCFF'!$D$24,5)*(1+H$41)/($A49-H$41)/POWER(1+$A49,5)-'DCF - FCFF'!$O$24)/'DCF - FCFF'!$Q$24)</f>
        <v/>
      </c>
      <c r="I49" s="13">
        <f>IF($A49-I$41&lt;0.01,NA(),('DCF - FCFF'!$B$24*SUMPRODUCT(POWER(1+'DCF - FCFF'!$D$24,{1,2,3,4,5})/POWER(1+$A49,{1,2,3,4,5}))+'DCF - FCFF'!$B$24*POWER(1+'DCF - FCFF'!$D$24,5)*(1+I$41)/($A49-I$41)/POWER(1+$A49,5)-'DCF - FCFF'!$O$24)/'DCF - FCFF'!$Q$24)</f>
        <v/>
      </c>
      <c r="J49" s="13">
        <f>IF($A49-J$41&lt;0.01,NA(),('DCF - FCFF'!$B$24*SUMPRODUCT(POWER(1+'DCF - FCFF'!$D$24,{1,2,3,4,5})/POWER(1+$A49,{1,2,3,4,5}))+'DCF - FCFF'!$B$24*POWER(1+'DCF - FCFF'!$D$24,5)*(1+J$41)/($A49-J$41)/POWER(1+$A49,5)-'DCF - FCFF'!$O$24)/'DCF - FCFF'!$Q$24)</f>
        <v/>
      </c>
    </row>
    <row r="50">
      <c r="A50" s="25">
        <f>'DCF - FCFF'!$E$24+0.02</f>
        <v/>
      </c>
      <c r="B50" s="13">
        <f>IF($A50-B$41&lt;0.01,NA(),('DCF - FCFF'!$B$24*SUMPRODUCT(POWER(1+'DCF - FCFF'!$D$24,{1,2,3,4,5})/POWER(1+$A50,{1,2,3,4,5}))+'DCF - FCFF'!$B$24*POWER(1+'DCF - FCFF'!$D$24,5)*(1+B$41)/($A50-B$41)/POWER(1+$A50,5)-'DCF - FCFF'!$O$24)/'DCF - FCFF'!$Q$24)</f>
        <v/>
      </c>
      <c r="C50" s="13">
        <f>IF($A50-C$41&lt;0.01,NA(),('DCF - FCFF'!$B$24*SUMPRODUCT(POWER(1+'DCF - FCFF'!$D$24,{1,2,3,4,5})/POWER(1+$A50,{1,2,3,4,5}))+'DCF - FCFF'!$B$24*POWER(1+'DCF - FCFF'!$D$24,5)*(1+C$41)/($A50-C$41)/POWER(1+$A50,5)-'DCF - FCFF'!$O$24)/'DCF - FCFF'!$Q$24)</f>
        <v/>
      </c>
      <c r="D50" s="13">
        <f>IF($A50-D$41&lt;0.01,NA(),('DCF - FCFF'!$B$24*SUMPRODUCT(POWER(1+'DCF - FCFF'!$D$24,{1,2,3,4,5})/POWER(1+$A50,{1,2,3,4,5}))+'DCF - FCFF'!$B$24*POWER(1+'DCF - FCFF'!$D$24,5)*(1+D$41)/($A50-D$41)/POWER(1+$A50,5)-'DCF - FCFF'!$O$24)/'DCF - FCFF'!$Q$24)</f>
        <v/>
      </c>
      <c r="E50" s="13">
        <f>IF($A50-E$41&lt;0.01,NA(),('DCF - FCFF'!$B$24*SUMPRODUCT(POWER(1+'DCF - FCFF'!$D$24,{1,2,3,4,5})/POWER(1+$A50,{1,2,3,4,5}))+'DCF - FCFF'!$B$24*POWER(1+'DCF - FCFF'!$D$24,5)*(1+E$41)/($A50-E$41)/POWER(1+$A50,5)-'DCF - FCFF'!$O$24)/'DCF - FCFF'!$Q$24)</f>
        <v/>
      </c>
      <c r="F50" s="13">
        <f>IF($A50-F$41&lt;0.01,NA(),('DCF - FCFF'!$B$24*SUMPRODUCT(POWER(1+'DCF - FCFF'!$D$24,{1,2,3,4,5})/POWER(1+$A50,{1,2,3,4,5}))+'DCF - FCFF'!$B$24*POWER(1+'DCF - FCFF'!$D$24,5)*(1+F$41)/($A50-F$41)/POWER(1+$A50,5)-'DCF - FCFF'!$O$24)/'DCF - FCFF'!$Q$24)</f>
        <v/>
      </c>
      <c r="G50" s="13">
        <f>IF($A50-G$41&lt;0.01,NA(),('DCF - FCFF'!$B$24*SUMPRODUCT(POWER(1+'DCF - FCFF'!$D$24,{1,2,3,4,5})/POWER(1+$A50,{1,2,3,4,5}))+'DCF - FCFF'!$B$24*POWER(1+'DCF - FCFF'!$D$24,5)*(1+G$41)/($A50-G$41)/POWER(1+$A50,5)-'DCF - FCFF'!$O$24)/'DCF - FCFF'!$Q$24)</f>
        <v/>
      </c>
      <c r="H50" s="13">
        <f>IF($A50-H$41&lt;0.01,NA(),('DCF - FCFF'!$B$24*SUMPRODUCT(POWER(1+'DCF - FCFF'!$D$24,{1,2,3,4,5})/POWER(1+$A50,{1,2,3,4,5}))+'DCF - FCFF'!$B$24*POWER(1+'DCF - FCFF'!$D$24,5)*(1+H$41)/($A50-H$41)/POWER(1+$A50,5)-'DCF - FCFF'!$O$24)/'DCF - FCFF'!$Q$24)</f>
        <v/>
      </c>
      <c r="I50" s="13">
        <f>IF($A50-I$41&lt;0.01,NA(),('DCF - FCFF'!$B$24*SUMPRODUCT(POWER(1+'DCF - FCFF'!$D$24,{1,2,3,4,5})/POWER(1+$A50,{1,2,3,4,5}))+'DCF - FCFF'!$B$24*POWER(1+'DCF - FCFF'!$D$24,5)*(1+I$41)/($A50-I$41)/POWER(1+$A50,5)-'DCF - FCFF'!$O$24)/'DCF - FCFF'!$Q$24)</f>
        <v/>
      </c>
      <c r="J50" s="13">
        <f>IF($A50-J$41&lt;0.01,NA(),('DCF - FCFF'!$B$24*SUMPRODUCT(POWER(1+'DCF - FCFF'!$D$24,{1,2,3,4,5})/POWER(1+$A50,{1,2,3,4,5}))+'DCF - FCFF'!$B$24*POWER(1+'DCF - FCFF'!$D$24,5)*(1+J$41)/($A50-J$41)/POWER(1+$A50,5)-'DCF - FCFF'!$O$24)/'DCF - FCFF'!$Q$24)</f>
        <v/>
      </c>
    </row>
    <row r="52">
      <c r="A52" s="3" t="inlineStr">
        <is>
          <t>Colgate</t>
        </is>
      </c>
      <c r="B52" s="13">
        <f>'Market Data'!$C$6</f>
        <v/>
      </c>
      <c r="C52" s="2" t="inlineStr">
        <is>
          <t>← market price · rows: WACC · cols: terminal g</t>
        </is>
      </c>
    </row>
    <row r="53">
      <c r="B53" s="24" t="n">
        <v>0.01</v>
      </c>
      <c r="C53" s="24" t="n">
        <v>0.015</v>
      </c>
      <c r="D53" s="24" t="n">
        <v>0.02</v>
      </c>
      <c r="E53" s="24" t="n">
        <v>0.025</v>
      </c>
      <c r="F53" s="24" t="n">
        <v>0.03</v>
      </c>
      <c r="G53" s="24" t="n">
        <v>0.035</v>
      </c>
      <c r="H53" s="24" t="n">
        <v>0.04</v>
      </c>
      <c r="I53" s="24" t="n">
        <v>0.045</v>
      </c>
      <c r="J53" s="24" t="n">
        <v>0.05</v>
      </c>
    </row>
    <row r="54">
      <c r="A54" s="25">
        <f>'DCF - FCFF'!$E$25-0.02</f>
        <v/>
      </c>
      <c r="B54" s="13">
        <f>IF($A54-B$53&lt;0.01,NA(),('DCF - FCFF'!$B$25*SUMPRODUCT(POWER(1+'DCF - FCFF'!$D$25,{1,2,3,4,5})/POWER(1+$A54,{1,2,3,4,5}))+'DCF - FCFF'!$B$25*POWER(1+'DCF - FCFF'!$D$25,5)*(1+B$53)/($A54-B$53)/POWER(1+$A54,5)-'DCF - FCFF'!$O$25)/'DCF - FCFF'!$Q$25)</f>
        <v/>
      </c>
      <c r="C54" s="13">
        <f>IF($A54-C$53&lt;0.01,NA(),('DCF - FCFF'!$B$25*SUMPRODUCT(POWER(1+'DCF - FCFF'!$D$25,{1,2,3,4,5})/POWER(1+$A54,{1,2,3,4,5}))+'DCF - FCFF'!$B$25*POWER(1+'DCF - FCFF'!$D$25,5)*(1+C$53)/($A54-C$53)/POWER(1+$A54,5)-'DCF - FCFF'!$O$25)/'DCF - FCFF'!$Q$25)</f>
        <v/>
      </c>
      <c r="D54" s="13">
        <f>IF($A54-D$53&lt;0.01,NA(),('DCF - FCFF'!$B$25*SUMPRODUCT(POWER(1+'DCF - FCFF'!$D$25,{1,2,3,4,5})/POWER(1+$A54,{1,2,3,4,5}))+'DCF - FCFF'!$B$25*POWER(1+'DCF - FCFF'!$D$25,5)*(1+D$53)/($A54-D$53)/POWER(1+$A54,5)-'DCF - FCFF'!$O$25)/'DCF - FCFF'!$Q$25)</f>
        <v/>
      </c>
      <c r="E54" s="13">
        <f>IF($A54-E$53&lt;0.01,NA(),('DCF - FCFF'!$B$25*SUMPRODUCT(POWER(1+'DCF - FCFF'!$D$25,{1,2,3,4,5})/POWER(1+$A54,{1,2,3,4,5}))+'DCF - FCFF'!$B$25*POWER(1+'DCF - FCFF'!$D$25,5)*(1+E$53)/($A54-E$53)/POWER(1+$A54,5)-'DCF - FCFF'!$O$25)/'DCF - FCFF'!$Q$25)</f>
        <v/>
      </c>
      <c r="F54" s="13">
        <f>IF($A54-F$53&lt;0.01,NA(),('DCF - FCFF'!$B$25*SUMPRODUCT(POWER(1+'DCF - FCFF'!$D$25,{1,2,3,4,5})/POWER(1+$A54,{1,2,3,4,5}))+'DCF - FCFF'!$B$25*POWER(1+'DCF - FCFF'!$D$25,5)*(1+F$53)/($A54-F$53)/POWER(1+$A54,5)-'DCF - FCFF'!$O$25)/'DCF - FCFF'!$Q$25)</f>
        <v/>
      </c>
      <c r="G54" s="13">
        <f>IF($A54-G$53&lt;0.01,NA(),('DCF - FCFF'!$B$25*SUMPRODUCT(POWER(1+'DCF - FCFF'!$D$25,{1,2,3,4,5})/POWER(1+$A54,{1,2,3,4,5}))+'DCF - FCFF'!$B$25*POWER(1+'DCF - FCFF'!$D$25,5)*(1+G$53)/($A54-G$53)/POWER(1+$A54,5)-'DCF - FCFF'!$O$25)/'DCF - FCFF'!$Q$25)</f>
        <v/>
      </c>
      <c r="H54" s="13">
        <f>IF($A54-H$53&lt;0.01,NA(),('DCF - FCFF'!$B$25*SUMPRODUCT(POWER(1+'DCF - FCFF'!$D$25,{1,2,3,4,5})/POWER(1+$A54,{1,2,3,4,5}))+'DCF - FCFF'!$B$25*POWER(1+'DCF - FCFF'!$D$25,5)*(1+H$53)/($A54-H$53)/POWER(1+$A54,5)-'DCF - FCFF'!$O$25)/'DCF - FCFF'!$Q$25)</f>
        <v/>
      </c>
      <c r="I54" s="13">
        <f>IF($A54-I$53&lt;0.01,NA(),('DCF - FCFF'!$B$25*SUMPRODUCT(POWER(1+'DCF - FCFF'!$D$25,{1,2,3,4,5})/POWER(1+$A54,{1,2,3,4,5}))+'DCF - FCFF'!$B$25*POWER(1+'DCF - FCFF'!$D$25,5)*(1+I$53)/($A54-I$53)/POWER(1+$A54,5)-'DCF - FCFF'!$O$25)/'DCF - FCFF'!$Q$25)</f>
        <v/>
      </c>
      <c r="J54" s="13">
        <f>IF($A54-J$53&lt;0.01,NA(),('DCF - FCFF'!$B$25*SUMPRODUCT(POWER(1+'DCF - FCFF'!$D$25,{1,2,3,4,5})/POWER(1+$A54,{1,2,3,4,5}))+'DCF - FCFF'!$B$25*POWER(1+'DCF - FCFF'!$D$25,5)*(1+J$53)/($A54-J$53)/POWER(1+$A54,5)-'DCF - FCFF'!$O$25)/'DCF - FCFF'!$Q$25)</f>
        <v/>
      </c>
    </row>
    <row r="55">
      <c r="A55" s="25">
        <f>'DCF - FCFF'!$E$25-0.015</f>
        <v/>
      </c>
      <c r="B55" s="13">
        <f>IF($A55-B$53&lt;0.01,NA(),('DCF - FCFF'!$B$25*SUMPRODUCT(POWER(1+'DCF - FCFF'!$D$25,{1,2,3,4,5})/POWER(1+$A55,{1,2,3,4,5}))+'DCF - FCFF'!$B$25*POWER(1+'DCF - FCFF'!$D$25,5)*(1+B$53)/($A55-B$53)/POWER(1+$A55,5)-'DCF - FCFF'!$O$25)/'DCF - FCFF'!$Q$25)</f>
        <v/>
      </c>
      <c r="C55" s="13">
        <f>IF($A55-C$53&lt;0.01,NA(),('DCF - FCFF'!$B$25*SUMPRODUCT(POWER(1+'DCF - FCFF'!$D$25,{1,2,3,4,5})/POWER(1+$A55,{1,2,3,4,5}))+'DCF - FCFF'!$B$25*POWER(1+'DCF - FCFF'!$D$25,5)*(1+C$53)/($A55-C$53)/POWER(1+$A55,5)-'DCF - FCFF'!$O$25)/'DCF - FCFF'!$Q$25)</f>
        <v/>
      </c>
      <c r="D55" s="13">
        <f>IF($A55-D$53&lt;0.01,NA(),('DCF - FCFF'!$B$25*SUMPRODUCT(POWER(1+'DCF - FCFF'!$D$25,{1,2,3,4,5})/POWER(1+$A55,{1,2,3,4,5}))+'DCF - FCFF'!$B$25*POWER(1+'DCF - FCFF'!$D$25,5)*(1+D$53)/($A55-D$53)/POWER(1+$A55,5)-'DCF - FCFF'!$O$25)/'DCF - FCFF'!$Q$25)</f>
        <v/>
      </c>
      <c r="E55" s="13">
        <f>IF($A55-E$53&lt;0.01,NA(),('DCF - FCFF'!$B$25*SUMPRODUCT(POWER(1+'DCF - FCFF'!$D$25,{1,2,3,4,5})/POWER(1+$A55,{1,2,3,4,5}))+'DCF - FCFF'!$B$25*POWER(1+'DCF - FCFF'!$D$25,5)*(1+E$53)/($A55-E$53)/POWER(1+$A55,5)-'DCF - FCFF'!$O$25)/'DCF - FCFF'!$Q$25)</f>
        <v/>
      </c>
      <c r="F55" s="13">
        <f>IF($A55-F$53&lt;0.01,NA(),('DCF - FCFF'!$B$25*SUMPRODUCT(POWER(1+'DCF - FCFF'!$D$25,{1,2,3,4,5})/POWER(1+$A55,{1,2,3,4,5}))+'DCF - FCFF'!$B$25*POWER(1+'DCF - FCFF'!$D$25,5)*(1+F$53)/($A55-F$53)/POWER(1+$A55,5)-'DCF - FCFF'!$O$25)/'DCF - FCFF'!$Q$25)</f>
        <v/>
      </c>
      <c r="G55" s="13">
        <f>IF($A55-G$53&lt;0.01,NA(),('DCF - FCFF'!$B$25*SUMPRODUCT(POWER(1+'DCF - FCFF'!$D$25,{1,2,3,4,5})/POWER(1+$A55,{1,2,3,4,5}))+'DCF - FCFF'!$B$25*POWER(1+'DCF - FCFF'!$D$25,5)*(1+G$53)/($A55-G$53)/POWER(1+$A55,5)-'DCF - FCFF'!$O$25)/'DCF - FCFF'!$Q$25)</f>
        <v/>
      </c>
      <c r="H55" s="13">
        <f>IF($A55-H$53&lt;0.01,NA(),('DCF - FCFF'!$B$25*SUMPRODUCT(POWER(1+'DCF - FCFF'!$D$25,{1,2,3,4,5})/POWER(1+$A55,{1,2,3,4,5}))+'DCF - FCFF'!$B$25*POWER(1+'DCF - FCFF'!$D$25,5)*(1+H$53)/($A55-H$53)/POWER(1+$A55,5)-'DCF - FCFF'!$O$25)/'DCF - FCFF'!$Q$25)</f>
        <v/>
      </c>
      <c r="I55" s="13">
        <f>IF($A55-I$53&lt;0.01,NA(),('DCF - FCFF'!$B$25*SUMPRODUCT(POWER(1+'DCF - FCFF'!$D$25,{1,2,3,4,5})/POWER(1+$A55,{1,2,3,4,5}))+'DCF - FCFF'!$B$25*POWER(1+'DCF - FCFF'!$D$25,5)*(1+I$53)/($A55-I$53)/POWER(1+$A55,5)-'DCF - FCFF'!$O$25)/'DCF - FCFF'!$Q$25)</f>
        <v/>
      </c>
      <c r="J55" s="13">
        <f>IF($A55-J$53&lt;0.01,NA(),('DCF - FCFF'!$B$25*SUMPRODUCT(POWER(1+'DCF - FCFF'!$D$25,{1,2,3,4,5})/POWER(1+$A55,{1,2,3,4,5}))+'DCF - FCFF'!$B$25*POWER(1+'DCF - FCFF'!$D$25,5)*(1+J$53)/($A55-J$53)/POWER(1+$A55,5)-'DCF - FCFF'!$O$25)/'DCF - FCFF'!$Q$25)</f>
        <v/>
      </c>
    </row>
    <row r="56">
      <c r="A56" s="25">
        <f>'DCF - FCFF'!$E$25-0.01</f>
        <v/>
      </c>
      <c r="B56" s="13">
        <f>IF($A56-B$53&lt;0.01,NA(),('DCF - FCFF'!$B$25*SUMPRODUCT(POWER(1+'DCF - FCFF'!$D$25,{1,2,3,4,5})/POWER(1+$A56,{1,2,3,4,5}))+'DCF - FCFF'!$B$25*POWER(1+'DCF - FCFF'!$D$25,5)*(1+B$53)/($A56-B$53)/POWER(1+$A56,5)-'DCF - FCFF'!$O$25)/'DCF - FCFF'!$Q$25)</f>
        <v/>
      </c>
      <c r="C56" s="13">
        <f>IF($A56-C$53&lt;0.01,NA(),('DCF - FCFF'!$B$25*SUMPRODUCT(POWER(1+'DCF - FCFF'!$D$25,{1,2,3,4,5})/POWER(1+$A56,{1,2,3,4,5}))+'DCF - FCFF'!$B$25*POWER(1+'DCF - FCFF'!$D$25,5)*(1+C$53)/($A56-C$53)/POWER(1+$A56,5)-'DCF - FCFF'!$O$25)/'DCF - FCFF'!$Q$25)</f>
        <v/>
      </c>
      <c r="D56" s="13">
        <f>IF($A56-D$53&lt;0.01,NA(),('DCF - FCFF'!$B$25*SUMPRODUCT(POWER(1+'DCF - FCFF'!$D$25,{1,2,3,4,5})/POWER(1+$A56,{1,2,3,4,5}))+'DCF - FCFF'!$B$25*POWER(1+'DCF - FCFF'!$D$25,5)*(1+D$53)/($A56-D$53)/POWER(1+$A56,5)-'DCF - FCFF'!$O$25)/'DCF - FCFF'!$Q$25)</f>
        <v/>
      </c>
      <c r="E56" s="13">
        <f>IF($A56-E$53&lt;0.01,NA(),('DCF - FCFF'!$B$25*SUMPRODUCT(POWER(1+'DCF - FCFF'!$D$25,{1,2,3,4,5})/POWER(1+$A56,{1,2,3,4,5}))+'DCF - FCFF'!$B$25*POWER(1+'DCF - FCFF'!$D$25,5)*(1+E$53)/($A56-E$53)/POWER(1+$A56,5)-'DCF - FCFF'!$O$25)/'DCF - FCFF'!$Q$25)</f>
        <v/>
      </c>
      <c r="F56" s="13">
        <f>IF($A56-F$53&lt;0.01,NA(),('DCF - FCFF'!$B$25*SUMPRODUCT(POWER(1+'DCF - FCFF'!$D$25,{1,2,3,4,5})/POWER(1+$A56,{1,2,3,4,5}))+'DCF - FCFF'!$B$25*POWER(1+'DCF - FCFF'!$D$25,5)*(1+F$53)/($A56-F$53)/POWER(1+$A56,5)-'DCF - FCFF'!$O$25)/'DCF - FCFF'!$Q$25)</f>
        <v/>
      </c>
      <c r="G56" s="13">
        <f>IF($A56-G$53&lt;0.01,NA(),('DCF - FCFF'!$B$25*SUMPRODUCT(POWER(1+'DCF - FCFF'!$D$25,{1,2,3,4,5})/POWER(1+$A56,{1,2,3,4,5}))+'DCF - FCFF'!$B$25*POWER(1+'DCF - FCFF'!$D$25,5)*(1+G$53)/($A56-G$53)/POWER(1+$A56,5)-'DCF - FCFF'!$O$25)/'DCF - FCFF'!$Q$25)</f>
        <v/>
      </c>
      <c r="H56" s="13">
        <f>IF($A56-H$53&lt;0.01,NA(),('DCF - FCFF'!$B$25*SUMPRODUCT(POWER(1+'DCF - FCFF'!$D$25,{1,2,3,4,5})/POWER(1+$A56,{1,2,3,4,5}))+'DCF - FCFF'!$B$25*POWER(1+'DCF - FCFF'!$D$25,5)*(1+H$53)/($A56-H$53)/POWER(1+$A56,5)-'DCF - FCFF'!$O$25)/'DCF - FCFF'!$Q$25)</f>
        <v/>
      </c>
      <c r="I56" s="13">
        <f>IF($A56-I$53&lt;0.01,NA(),('DCF - FCFF'!$B$25*SUMPRODUCT(POWER(1+'DCF - FCFF'!$D$25,{1,2,3,4,5})/POWER(1+$A56,{1,2,3,4,5}))+'DCF - FCFF'!$B$25*POWER(1+'DCF - FCFF'!$D$25,5)*(1+I$53)/($A56-I$53)/POWER(1+$A56,5)-'DCF - FCFF'!$O$25)/'DCF - FCFF'!$Q$25)</f>
        <v/>
      </c>
      <c r="J56" s="13">
        <f>IF($A56-J$53&lt;0.01,NA(),('DCF - FCFF'!$B$25*SUMPRODUCT(POWER(1+'DCF - FCFF'!$D$25,{1,2,3,4,5})/POWER(1+$A56,{1,2,3,4,5}))+'DCF - FCFF'!$B$25*POWER(1+'DCF - FCFF'!$D$25,5)*(1+J$53)/($A56-J$53)/POWER(1+$A56,5)-'DCF - FCFF'!$O$25)/'DCF - FCFF'!$Q$25)</f>
        <v/>
      </c>
    </row>
    <row r="57">
      <c r="A57" s="25">
        <f>'DCF - FCFF'!$E$25-0.005</f>
        <v/>
      </c>
      <c r="B57" s="13">
        <f>IF($A57-B$53&lt;0.01,NA(),('DCF - FCFF'!$B$25*SUMPRODUCT(POWER(1+'DCF - FCFF'!$D$25,{1,2,3,4,5})/POWER(1+$A57,{1,2,3,4,5}))+'DCF - FCFF'!$B$25*POWER(1+'DCF - FCFF'!$D$25,5)*(1+B$53)/($A57-B$53)/POWER(1+$A57,5)-'DCF - FCFF'!$O$25)/'DCF - FCFF'!$Q$25)</f>
        <v/>
      </c>
      <c r="C57" s="13">
        <f>IF($A57-C$53&lt;0.01,NA(),('DCF - FCFF'!$B$25*SUMPRODUCT(POWER(1+'DCF - FCFF'!$D$25,{1,2,3,4,5})/POWER(1+$A57,{1,2,3,4,5}))+'DCF - FCFF'!$B$25*POWER(1+'DCF - FCFF'!$D$25,5)*(1+C$53)/($A57-C$53)/POWER(1+$A57,5)-'DCF - FCFF'!$O$25)/'DCF - FCFF'!$Q$25)</f>
        <v/>
      </c>
      <c r="D57" s="13">
        <f>IF($A57-D$53&lt;0.01,NA(),('DCF - FCFF'!$B$25*SUMPRODUCT(POWER(1+'DCF - FCFF'!$D$25,{1,2,3,4,5})/POWER(1+$A57,{1,2,3,4,5}))+'DCF - FCFF'!$B$25*POWER(1+'DCF - FCFF'!$D$25,5)*(1+D$53)/($A57-D$53)/POWER(1+$A57,5)-'DCF - FCFF'!$O$25)/'DCF - FCFF'!$Q$25)</f>
        <v/>
      </c>
      <c r="E57" s="13">
        <f>IF($A57-E$53&lt;0.01,NA(),('DCF - FCFF'!$B$25*SUMPRODUCT(POWER(1+'DCF - FCFF'!$D$25,{1,2,3,4,5})/POWER(1+$A57,{1,2,3,4,5}))+'DCF - FCFF'!$B$25*POWER(1+'DCF - FCFF'!$D$25,5)*(1+E$53)/($A57-E$53)/POWER(1+$A57,5)-'DCF - FCFF'!$O$25)/'DCF - FCFF'!$Q$25)</f>
        <v/>
      </c>
      <c r="F57" s="13">
        <f>IF($A57-F$53&lt;0.01,NA(),('DCF - FCFF'!$B$25*SUMPRODUCT(POWER(1+'DCF - FCFF'!$D$25,{1,2,3,4,5})/POWER(1+$A57,{1,2,3,4,5}))+'DCF - FCFF'!$B$25*POWER(1+'DCF - FCFF'!$D$25,5)*(1+F$53)/($A57-F$53)/POWER(1+$A57,5)-'DCF - FCFF'!$O$25)/'DCF - FCFF'!$Q$25)</f>
        <v/>
      </c>
      <c r="G57" s="13">
        <f>IF($A57-G$53&lt;0.01,NA(),('DCF - FCFF'!$B$25*SUMPRODUCT(POWER(1+'DCF - FCFF'!$D$25,{1,2,3,4,5})/POWER(1+$A57,{1,2,3,4,5}))+'DCF - FCFF'!$B$25*POWER(1+'DCF - FCFF'!$D$25,5)*(1+G$53)/($A57-G$53)/POWER(1+$A57,5)-'DCF - FCFF'!$O$25)/'DCF - FCFF'!$Q$25)</f>
        <v/>
      </c>
      <c r="H57" s="13">
        <f>IF($A57-H$53&lt;0.01,NA(),('DCF - FCFF'!$B$25*SUMPRODUCT(POWER(1+'DCF - FCFF'!$D$25,{1,2,3,4,5})/POWER(1+$A57,{1,2,3,4,5}))+'DCF - FCFF'!$B$25*POWER(1+'DCF - FCFF'!$D$25,5)*(1+H$53)/($A57-H$53)/POWER(1+$A57,5)-'DCF - FCFF'!$O$25)/'DCF - FCFF'!$Q$25)</f>
        <v/>
      </c>
      <c r="I57" s="13">
        <f>IF($A57-I$53&lt;0.01,NA(),('DCF - FCFF'!$B$25*SUMPRODUCT(POWER(1+'DCF - FCFF'!$D$25,{1,2,3,4,5})/POWER(1+$A57,{1,2,3,4,5}))+'DCF - FCFF'!$B$25*POWER(1+'DCF - FCFF'!$D$25,5)*(1+I$53)/($A57-I$53)/POWER(1+$A57,5)-'DCF - FCFF'!$O$25)/'DCF - FCFF'!$Q$25)</f>
        <v/>
      </c>
      <c r="J57" s="13">
        <f>IF($A57-J$53&lt;0.01,NA(),('DCF - FCFF'!$B$25*SUMPRODUCT(POWER(1+'DCF - FCFF'!$D$25,{1,2,3,4,5})/POWER(1+$A57,{1,2,3,4,5}))+'DCF - FCFF'!$B$25*POWER(1+'DCF - FCFF'!$D$25,5)*(1+J$53)/($A57-J$53)/POWER(1+$A57,5)-'DCF - FCFF'!$O$25)/'DCF - FCFF'!$Q$25)</f>
        <v/>
      </c>
    </row>
    <row r="58">
      <c r="A58" s="25">
        <f>'DCF - FCFF'!$E$25+0.0</f>
        <v/>
      </c>
      <c r="B58" s="13">
        <f>IF($A58-B$53&lt;0.01,NA(),('DCF - FCFF'!$B$25*SUMPRODUCT(POWER(1+'DCF - FCFF'!$D$25,{1,2,3,4,5})/POWER(1+$A58,{1,2,3,4,5}))+'DCF - FCFF'!$B$25*POWER(1+'DCF - FCFF'!$D$25,5)*(1+B$53)/($A58-B$53)/POWER(1+$A58,5)-'DCF - FCFF'!$O$25)/'DCF - FCFF'!$Q$25)</f>
        <v/>
      </c>
      <c r="C58" s="13">
        <f>IF($A58-C$53&lt;0.01,NA(),('DCF - FCFF'!$B$25*SUMPRODUCT(POWER(1+'DCF - FCFF'!$D$25,{1,2,3,4,5})/POWER(1+$A58,{1,2,3,4,5}))+'DCF - FCFF'!$B$25*POWER(1+'DCF - FCFF'!$D$25,5)*(1+C$53)/($A58-C$53)/POWER(1+$A58,5)-'DCF - FCFF'!$O$25)/'DCF - FCFF'!$Q$25)</f>
        <v/>
      </c>
      <c r="D58" s="13">
        <f>IF($A58-D$53&lt;0.01,NA(),('DCF - FCFF'!$B$25*SUMPRODUCT(POWER(1+'DCF - FCFF'!$D$25,{1,2,3,4,5})/POWER(1+$A58,{1,2,3,4,5}))+'DCF - FCFF'!$B$25*POWER(1+'DCF - FCFF'!$D$25,5)*(1+D$53)/($A58-D$53)/POWER(1+$A58,5)-'DCF - FCFF'!$O$25)/'DCF - FCFF'!$Q$25)</f>
        <v/>
      </c>
      <c r="E58" s="13">
        <f>IF($A58-E$53&lt;0.01,NA(),('DCF - FCFF'!$B$25*SUMPRODUCT(POWER(1+'DCF - FCFF'!$D$25,{1,2,3,4,5})/POWER(1+$A58,{1,2,3,4,5}))+'DCF - FCFF'!$B$25*POWER(1+'DCF - FCFF'!$D$25,5)*(1+E$53)/($A58-E$53)/POWER(1+$A58,5)-'DCF - FCFF'!$O$25)/'DCF - FCFF'!$Q$25)</f>
        <v/>
      </c>
      <c r="F58" s="13">
        <f>IF($A58-F$53&lt;0.01,NA(),('DCF - FCFF'!$B$25*SUMPRODUCT(POWER(1+'DCF - FCFF'!$D$25,{1,2,3,4,5})/POWER(1+$A58,{1,2,3,4,5}))+'DCF - FCFF'!$B$25*POWER(1+'DCF - FCFF'!$D$25,5)*(1+F$53)/($A58-F$53)/POWER(1+$A58,5)-'DCF - FCFF'!$O$25)/'DCF - FCFF'!$Q$25)</f>
        <v/>
      </c>
      <c r="G58" s="13">
        <f>IF($A58-G$53&lt;0.01,NA(),('DCF - FCFF'!$B$25*SUMPRODUCT(POWER(1+'DCF - FCFF'!$D$25,{1,2,3,4,5})/POWER(1+$A58,{1,2,3,4,5}))+'DCF - FCFF'!$B$25*POWER(1+'DCF - FCFF'!$D$25,5)*(1+G$53)/($A58-G$53)/POWER(1+$A58,5)-'DCF - FCFF'!$O$25)/'DCF - FCFF'!$Q$25)</f>
        <v/>
      </c>
      <c r="H58" s="34">
        <f>IF($A58-H$53&lt;0.01,NA(),('DCF - FCFF'!$B$25*SUMPRODUCT(POWER(1+'DCF - FCFF'!$D$25,{1,2,3,4,5})/POWER(1+$A58,{1,2,3,4,5}))+'DCF - FCFF'!$B$25*POWER(1+'DCF - FCFF'!$D$25,5)*(1+H$53)/($A58-H$53)/POWER(1+$A58,5)-'DCF - FCFF'!$O$25)/'DCF - FCFF'!$Q$25)</f>
        <v/>
      </c>
      <c r="I58" s="13">
        <f>IF($A58-I$53&lt;0.01,NA(),('DCF - FCFF'!$B$25*SUMPRODUCT(POWER(1+'DCF - FCFF'!$D$25,{1,2,3,4,5})/POWER(1+$A58,{1,2,3,4,5}))+'DCF - FCFF'!$B$25*POWER(1+'DCF - FCFF'!$D$25,5)*(1+I$53)/($A58-I$53)/POWER(1+$A58,5)-'DCF - FCFF'!$O$25)/'DCF - FCFF'!$Q$25)</f>
        <v/>
      </c>
      <c r="J58" s="13">
        <f>IF($A58-J$53&lt;0.01,NA(),('DCF - FCFF'!$B$25*SUMPRODUCT(POWER(1+'DCF - FCFF'!$D$25,{1,2,3,4,5})/POWER(1+$A58,{1,2,3,4,5}))+'DCF - FCFF'!$B$25*POWER(1+'DCF - FCFF'!$D$25,5)*(1+J$53)/($A58-J$53)/POWER(1+$A58,5)-'DCF - FCFF'!$O$25)/'DCF - FCFF'!$Q$25)</f>
        <v/>
      </c>
    </row>
    <row r="59">
      <c r="A59" s="25">
        <f>'DCF - FCFF'!$E$25+0.005</f>
        <v/>
      </c>
      <c r="B59" s="13">
        <f>IF($A59-B$53&lt;0.01,NA(),('DCF - FCFF'!$B$25*SUMPRODUCT(POWER(1+'DCF - FCFF'!$D$25,{1,2,3,4,5})/POWER(1+$A59,{1,2,3,4,5}))+'DCF - FCFF'!$B$25*POWER(1+'DCF - FCFF'!$D$25,5)*(1+B$53)/($A59-B$53)/POWER(1+$A59,5)-'DCF - FCFF'!$O$25)/'DCF - FCFF'!$Q$25)</f>
        <v/>
      </c>
      <c r="C59" s="13">
        <f>IF($A59-C$53&lt;0.01,NA(),('DCF - FCFF'!$B$25*SUMPRODUCT(POWER(1+'DCF - FCFF'!$D$25,{1,2,3,4,5})/POWER(1+$A59,{1,2,3,4,5}))+'DCF - FCFF'!$B$25*POWER(1+'DCF - FCFF'!$D$25,5)*(1+C$53)/($A59-C$53)/POWER(1+$A59,5)-'DCF - FCFF'!$O$25)/'DCF - FCFF'!$Q$25)</f>
        <v/>
      </c>
      <c r="D59" s="13">
        <f>IF($A59-D$53&lt;0.01,NA(),('DCF - FCFF'!$B$25*SUMPRODUCT(POWER(1+'DCF - FCFF'!$D$25,{1,2,3,4,5})/POWER(1+$A59,{1,2,3,4,5}))+'DCF - FCFF'!$B$25*POWER(1+'DCF - FCFF'!$D$25,5)*(1+D$53)/($A59-D$53)/POWER(1+$A59,5)-'DCF - FCFF'!$O$25)/'DCF - FCFF'!$Q$25)</f>
        <v/>
      </c>
      <c r="E59" s="13">
        <f>IF($A59-E$53&lt;0.01,NA(),('DCF - FCFF'!$B$25*SUMPRODUCT(POWER(1+'DCF - FCFF'!$D$25,{1,2,3,4,5})/POWER(1+$A59,{1,2,3,4,5}))+'DCF - FCFF'!$B$25*POWER(1+'DCF - FCFF'!$D$25,5)*(1+E$53)/($A59-E$53)/POWER(1+$A59,5)-'DCF - FCFF'!$O$25)/'DCF - FCFF'!$Q$25)</f>
        <v/>
      </c>
      <c r="F59" s="13">
        <f>IF($A59-F$53&lt;0.01,NA(),('DCF - FCFF'!$B$25*SUMPRODUCT(POWER(1+'DCF - FCFF'!$D$25,{1,2,3,4,5})/POWER(1+$A59,{1,2,3,4,5}))+'DCF - FCFF'!$B$25*POWER(1+'DCF - FCFF'!$D$25,5)*(1+F$53)/($A59-F$53)/POWER(1+$A59,5)-'DCF - FCFF'!$O$25)/'DCF - FCFF'!$Q$25)</f>
        <v/>
      </c>
      <c r="G59" s="13">
        <f>IF($A59-G$53&lt;0.01,NA(),('DCF - FCFF'!$B$25*SUMPRODUCT(POWER(1+'DCF - FCFF'!$D$25,{1,2,3,4,5})/POWER(1+$A59,{1,2,3,4,5}))+'DCF - FCFF'!$B$25*POWER(1+'DCF - FCFF'!$D$25,5)*(1+G$53)/($A59-G$53)/POWER(1+$A59,5)-'DCF - FCFF'!$O$25)/'DCF - FCFF'!$Q$25)</f>
        <v/>
      </c>
      <c r="H59" s="13">
        <f>IF($A59-H$53&lt;0.01,NA(),('DCF - FCFF'!$B$25*SUMPRODUCT(POWER(1+'DCF - FCFF'!$D$25,{1,2,3,4,5})/POWER(1+$A59,{1,2,3,4,5}))+'DCF - FCFF'!$B$25*POWER(1+'DCF - FCFF'!$D$25,5)*(1+H$53)/($A59-H$53)/POWER(1+$A59,5)-'DCF - FCFF'!$O$25)/'DCF - FCFF'!$Q$25)</f>
        <v/>
      </c>
      <c r="I59" s="13">
        <f>IF($A59-I$53&lt;0.01,NA(),('DCF - FCFF'!$B$25*SUMPRODUCT(POWER(1+'DCF - FCFF'!$D$25,{1,2,3,4,5})/POWER(1+$A59,{1,2,3,4,5}))+'DCF - FCFF'!$B$25*POWER(1+'DCF - FCFF'!$D$25,5)*(1+I$53)/($A59-I$53)/POWER(1+$A59,5)-'DCF - FCFF'!$O$25)/'DCF - FCFF'!$Q$25)</f>
        <v/>
      </c>
      <c r="J59" s="13">
        <f>IF($A59-J$53&lt;0.01,NA(),('DCF - FCFF'!$B$25*SUMPRODUCT(POWER(1+'DCF - FCFF'!$D$25,{1,2,3,4,5})/POWER(1+$A59,{1,2,3,4,5}))+'DCF - FCFF'!$B$25*POWER(1+'DCF - FCFF'!$D$25,5)*(1+J$53)/($A59-J$53)/POWER(1+$A59,5)-'DCF - FCFF'!$O$25)/'DCF - FCFF'!$Q$25)</f>
        <v/>
      </c>
    </row>
    <row r="60">
      <c r="A60" s="25">
        <f>'DCF - FCFF'!$E$25+0.01</f>
        <v/>
      </c>
      <c r="B60" s="13">
        <f>IF($A60-B$53&lt;0.01,NA(),('DCF - FCFF'!$B$25*SUMPRODUCT(POWER(1+'DCF - FCFF'!$D$25,{1,2,3,4,5})/POWER(1+$A60,{1,2,3,4,5}))+'DCF - FCFF'!$B$25*POWER(1+'DCF - FCFF'!$D$25,5)*(1+B$53)/($A60-B$53)/POWER(1+$A60,5)-'DCF - FCFF'!$O$25)/'DCF - FCFF'!$Q$25)</f>
        <v/>
      </c>
      <c r="C60" s="13">
        <f>IF($A60-C$53&lt;0.01,NA(),('DCF - FCFF'!$B$25*SUMPRODUCT(POWER(1+'DCF - FCFF'!$D$25,{1,2,3,4,5})/POWER(1+$A60,{1,2,3,4,5}))+'DCF - FCFF'!$B$25*POWER(1+'DCF - FCFF'!$D$25,5)*(1+C$53)/($A60-C$53)/POWER(1+$A60,5)-'DCF - FCFF'!$O$25)/'DCF - FCFF'!$Q$25)</f>
        <v/>
      </c>
      <c r="D60" s="13">
        <f>IF($A60-D$53&lt;0.01,NA(),('DCF - FCFF'!$B$25*SUMPRODUCT(POWER(1+'DCF - FCFF'!$D$25,{1,2,3,4,5})/POWER(1+$A60,{1,2,3,4,5}))+'DCF - FCFF'!$B$25*POWER(1+'DCF - FCFF'!$D$25,5)*(1+D$53)/($A60-D$53)/POWER(1+$A60,5)-'DCF - FCFF'!$O$25)/'DCF - FCFF'!$Q$25)</f>
        <v/>
      </c>
      <c r="E60" s="13">
        <f>IF($A60-E$53&lt;0.01,NA(),('DCF - FCFF'!$B$25*SUMPRODUCT(POWER(1+'DCF - FCFF'!$D$25,{1,2,3,4,5})/POWER(1+$A60,{1,2,3,4,5}))+'DCF - FCFF'!$B$25*POWER(1+'DCF - FCFF'!$D$25,5)*(1+E$53)/($A60-E$53)/POWER(1+$A60,5)-'DCF - FCFF'!$O$25)/'DCF - FCFF'!$Q$25)</f>
        <v/>
      </c>
      <c r="F60" s="13">
        <f>IF($A60-F$53&lt;0.01,NA(),('DCF - FCFF'!$B$25*SUMPRODUCT(POWER(1+'DCF - FCFF'!$D$25,{1,2,3,4,5})/POWER(1+$A60,{1,2,3,4,5}))+'DCF - FCFF'!$B$25*POWER(1+'DCF - FCFF'!$D$25,5)*(1+F$53)/($A60-F$53)/POWER(1+$A60,5)-'DCF - FCFF'!$O$25)/'DCF - FCFF'!$Q$25)</f>
        <v/>
      </c>
      <c r="G60" s="13">
        <f>IF($A60-G$53&lt;0.01,NA(),('DCF - FCFF'!$B$25*SUMPRODUCT(POWER(1+'DCF - FCFF'!$D$25,{1,2,3,4,5})/POWER(1+$A60,{1,2,3,4,5}))+'DCF - FCFF'!$B$25*POWER(1+'DCF - FCFF'!$D$25,5)*(1+G$53)/($A60-G$53)/POWER(1+$A60,5)-'DCF - FCFF'!$O$25)/'DCF - FCFF'!$Q$25)</f>
        <v/>
      </c>
      <c r="H60" s="13">
        <f>IF($A60-H$53&lt;0.01,NA(),('DCF - FCFF'!$B$25*SUMPRODUCT(POWER(1+'DCF - FCFF'!$D$25,{1,2,3,4,5})/POWER(1+$A60,{1,2,3,4,5}))+'DCF - FCFF'!$B$25*POWER(1+'DCF - FCFF'!$D$25,5)*(1+H$53)/($A60-H$53)/POWER(1+$A60,5)-'DCF - FCFF'!$O$25)/'DCF - FCFF'!$Q$25)</f>
        <v/>
      </c>
      <c r="I60" s="13">
        <f>IF($A60-I$53&lt;0.01,NA(),('DCF - FCFF'!$B$25*SUMPRODUCT(POWER(1+'DCF - FCFF'!$D$25,{1,2,3,4,5})/POWER(1+$A60,{1,2,3,4,5}))+'DCF - FCFF'!$B$25*POWER(1+'DCF - FCFF'!$D$25,5)*(1+I$53)/($A60-I$53)/POWER(1+$A60,5)-'DCF - FCFF'!$O$25)/'DCF - FCFF'!$Q$25)</f>
        <v/>
      </c>
      <c r="J60" s="13">
        <f>IF($A60-J$53&lt;0.01,NA(),('DCF - FCFF'!$B$25*SUMPRODUCT(POWER(1+'DCF - FCFF'!$D$25,{1,2,3,4,5})/POWER(1+$A60,{1,2,3,4,5}))+'DCF - FCFF'!$B$25*POWER(1+'DCF - FCFF'!$D$25,5)*(1+J$53)/($A60-J$53)/POWER(1+$A60,5)-'DCF - FCFF'!$O$25)/'DCF - FCFF'!$Q$25)</f>
        <v/>
      </c>
    </row>
    <row r="61">
      <c r="A61" s="25">
        <f>'DCF - FCFF'!$E$25+0.015</f>
        <v/>
      </c>
      <c r="B61" s="13">
        <f>IF($A61-B$53&lt;0.01,NA(),('DCF - FCFF'!$B$25*SUMPRODUCT(POWER(1+'DCF - FCFF'!$D$25,{1,2,3,4,5})/POWER(1+$A61,{1,2,3,4,5}))+'DCF - FCFF'!$B$25*POWER(1+'DCF - FCFF'!$D$25,5)*(1+B$53)/($A61-B$53)/POWER(1+$A61,5)-'DCF - FCFF'!$O$25)/'DCF - FCFF'!$Q$25)</f>
        <v/>
      </c>
      <c r="C61" s="13">
        <f>IF($A61-C$53&lt;0.01,NA(),('DCF - FCFF'!$B$25*SUMPRODUCT(POWER(1+'DCF - FCFF'!$D$25,{1,2,3,4,5})/POWER(1+$A61,{1,2,3,4,5}))+'DCF - FCFF'!$B$25*POWER(1+'DCF - FCFF'!$D$25,5)*(1+C$53)/($A61-C$53)/POWER(1+$A61,5)-'DCF - FCFF'!$O$25)/'DCF - FCFF'!$Q$25)</f>
        <v/>
      </c>
      <c r="D61" s="13">
        <f>IF($A61-D$53&lt;0.01,NA(),('DCF - FCFF'!$B$25*SUMPRODUCT(POWER(1+'DCF - FCFF'!$D$25,{1,2,3,4,5})/POWER(1+$A61,{1,2,3,4,5}))+'DCF - FCFF'!$B$25*POWER(1+'DCF - FCFF'!$D$25,5)*(1+D$53)/($A61-D$53)/POWER(1+$A61,5)-'DCF - FCFF'!$O$25)/'DCF - FCFF'!$Q$25)</f>
        <v/>
      </c>
      <c r="E61" s="13">
        <f>IF($A61-E$53&lt;0.01,NA(),('DCF - FCFF'!$B$25*SUMPRODUCT(POWER(1+'DCF - FCFF'!$D$25,{1,2,3,4,5})/POWER(1+$A61,{1,2,3,4,5}))+'DCF - FCFF'!$B$25*POWER(1+'DCF - FCFF'!$D$25,5)*(1+E$53)/($A61-E$53)/POWER(1+$A61,5)-'DCF - FCFF'!$O$25)/'DCF - FCFF'!$Q$25)</f>
        <v/>
      </c>
      <c r="F61" s="13">
        <f>IF($A61-F$53&lt;0.01,NA(),('DCF - FCFF'!$B$25*SUMPRODUCT(POWER(1+'DCF - FCFF'!$D$25,{1,2,3,4,5})/POWER(1+$A61,{1,2,3,4,5}))+'DCF - FCFF'!$B$25*POWER(1+'DCF - FCFF'!$D$25,5)*(1+F$53)/($A61-F$53)/POWER(1+$A61,5)-'DCF - FCFF'!$O$25)/'DCF - FCFF'!$Q$25)</f>
        <v/>
      </c>
      <c r="G61" s="13">
        <f>IF($A61-G$53&lt;0.01,NA(),('DCF - FCFF'!$B$25*SUMPRODUCT(POWER(1+'DCF - FCFF'!$D$25,{1,2,3,4,5})/POWER(1+$A61,{1,2,3,4,5}))+'DCF - FCFF'!$B$25*POWER(1+'DCF - FCFF'!$D$25,5)*(1+G$53)/($A61-G$53)/POWER(1+$A61,5)-'DCF - FCFF'!$O$25)/'DCF - FCFF'!$Q$25)</f>
        <v/>
      </c>
      <c r="H61" s="13">
        <f>IF($A61-H$53&lt;0.01,NA(),('DCF - FCFF'!$B$25*SUMPRODUCT(POWER(1+'DCF - FCFF'!$D$25,{1,2,3,4,5})/POWER(1+$A61,{1,2,3,4,5}))+'DCF - FCFF'!$B$25*POWER(1+'DCF - FCFF'!$D$25,5)*(1+H$53)/($A61-H$53)/POWER(1+$A61,5)-'DCF - FCFF'!$O$25)/'DCF - FCFF'!$Q$25)</f>
        <v/>
      </c>
      <c r="I61" s="13">
        <f>IF($A61-I$53&lt;0.01,NA(),('DCF - FCFF'!$B$25*SUMPRODUCT(POWER(1+'DCF - FCFF'!$D$25,{1,2,3,4,5})/POWER(1+$A61,{1,2,3,4,5}))+'DCF - FCFF'!$B$25*POWER(1+'DCF - FCFF'!$D$25,5)*(1+I$53)/($A61-I$53)/POWER(1+$A61,5)-'DCF - FCFF'!$O$25)/'DCF - FCFF'!$Q$25)</f>
        <v/>
      </c>
      <c r="J61" s="13">
        <f>IF($A61-J$53&lt;0.01,NA(),('DCF - FCFF'!$B$25*SUMPRODUCT(POWER(1+'DCF - FCFF'!$D$25,{1,2,3,4,5})/POWER(1+$A61,{1,2,3,4,5}))+'DCF - FCFF'!$B$25*POWER(1+'DCF - FCFF'!$D$25,5)*(1+J$53)/($A61-J$53)/POWER(1+$A61,5)-'DCF - FCFF'!$O$25)/'DCF - FCFF'!$Q$25)</f>
        <v/>
      </c>
    </row>
    <row r="62">
      <c r="A62" s="25">
        <f>'DCF - FCFF'!$E$25+0.02</f>
        <v/>
      </c>
      <c r="B62" s="13">
        <f>IF($A62-B$53&lt;0.01,NA(),('DCF - FCFF'!$B$25*SUMPRODUCT(POWER(1+'DCF - FCFF'!$D$25,{1,2,3,4,5})/POWER(1+$A62,{1,2,3,4,5}))+'DCF - FCFF'!$B$25*POWER(1+'DCF - FCFF'!$D$25,5)*(1+B$53)/($A62-B$53)/POWER(1+$A62,5)-'DCF - FCFF'!$O$25)/'DCF - FCFF'!$Q$25)</f>
        <v/>
      </c>
      <c r="C62" s="13">
        <f>IF($A62-C$53&lt;0.01,NA(),('DCF - FCFF'!$B$25*SUMPRODUCT(POWER(1+'DCF - FCFF'!$D$25,{1,2,3,4,5})/POWER(1+$A62,{1,2,3,4,5}))+'DCF - FCFF'!$B$25*POWER(1+'DCF - FCFF'!$D$25,5)*(1+C$53)/($A62-C$53)/POWER(1+$A62,5)-'DCF - FCFF'!$O$25)/'DCF - FCFF'!$Q$25)</f>
        <v/>
      </c>
      <c r="D62" s="13">
        <f>IF($A62-D$53&lt;0.01,NA(),('DCF - FCFF'!$B$25*SUMPRODUCT(POWER(1+'DCF - FCFF'!$D$25,{1,2,3,4,5})/POWER(1+$A62,{1,2,3,4,5}))+'DCF - FCFF'!$B$25*POWER(1+'DCF - FCFF'!$D$25,5)*(1+D$53)/($A62-D$53)/POWER(1+$A62,5)-'DCF - FCFF'!$O$25)/'DCF - FCFF'!$Q$25)</f>
        <v/>
      </c>
      <c r="E62" s="13">
        <f>IF($A62-E$53&lt;0.01,NA(),('DCF - FCFF'!$B$25*SUMPRODUCT(POWER(1+'DCF - FCFF'!$D$25,{1,2,3,4,5})/POWER(1+$A62,{1,2,3,4,5}))+'DCF - FCFF'!$B$25*POWER(1+'DCF - FCFF'!$D$25,5)*(1+E$53)/($A62-E$53)/POWER(1+$A62,5)-'DCF - FCFF'!$O$25)/'DCF - FCFF'!$Q$25)</f>
        <v/>
      </c>
      <c r="F62" s="13">
        <f>IF($A62-F$53&lt;0.01,NA(),('DCF - FCFF'!$B$25*SUMPRODUCT(POWER(1+'DCF - FCFF'!$D$25,{1,2,3,4,5})/POWER(1+$A62,{1,2,3,4,5}))+'DCF - FCFF'!$B$25*POWER(1+'DCF - FCFF'!$D$25,5)*(1+F$53)/($A62-F$53)/POWER(1+$A62,5)-'DCF - FCFF'!$O$25)/'DCF - FCFF'!$Q$25)</f>
        <v/>
      </c>
      <c r="G62" s="13">
        <f>IF($A62-G$53&lt;0.01,NA(),('DCF - FCFF'!$B$25*SUMPRODUCT(POWER(1+'DCF - FCFF'!$D$25,{1,2,3,4,5})/POWER(1+$A62,{1,2,3,4,5}))+'DCF - FCFF'!$B$25*POWER(1+'DCF - FCFF'!$D$25,5)*(1+G$53)/($A62-G$53)/POWER(1+$A62,5)-'DCF - FCFF'!$O$25)/'DCF - FCFF'!$Q$25)</f>
        <v/>
      </c>
      <c r="H62" s="13">
        <f>IF($A62-H$53&lt;0.01,NA(),('DCF - FCFF'!$B$25*SUMPRODUCT(POWER(1+'DCF - FCFF'!$D$25,{1,2,3,4,5})/POWER(1+$A62,{1,2,3,4,5}))+'DCF - FCFF'!$B$25*POWER(1+'DCF - FCFF'!$D$25,5)*(1+H$53)/($A62-H$53)/POWER(1+$A62,5)-'DCF - FCFF'!$O$25)/'DCF - FCFF'!$Q$25)</f>
        <v/>
      </c>
      <c r="I62" s="13">
        <f>IF($A62-I$53&lt;0.01,NA(),('DCF - FCFF'!$B$25*SUMPRODUCT(POWER(1+'DCF - FCFF'!$D$25,{1,2,3,4,5})/POWER(1+$A62,{1,2,3,4,5}))+'DCF - FCFF'!$B$25*POWER(1+'DCF - FCFF'!$D$25,5)*(1+I$53)/($A62-I$53)/POWER(1+$A62,5)-'DCF - FCFF'!$O$25)/'DCF - FCFF'!$Q$25)</f>
        <v/>
      </c>
      <c r="J62" s="13">
        <f>IF($A62-J$53&lt;0.01,NA(),('DCF - FCFF'!$B$25*SUMPRODUCT(POWER(1+'DCF - FCFF'!$D$25,{1,2,3,4,5})/POWER(1+$A62,{1,2,3,4,5}))+'DCF - FCFF'!$B$25*POWER(1+'DCF - FCFF'!$D$25,5)*(1+J$53)/($A62-J$53)/POWER(1+$A62,5)-'DCF - FCFF'!$O$25)/'DCF - FCFF'!$Q$25)</f>
        <v/>
      </c>
    </row>
    <row r="64">
      <c r="A64" s="3" t="inlineStr">
        <is>
          <t>Nestle</t>
        </is>
      </c>
      <c r="B64" s="13">
        <f>'Market Data'!$C$7</f>
        <v/>
      </c>
      <c r="C64" s="2" t="inlineStr">
        <is>
          <t>← market price · rows: WACC · cols: terminal g</t>
        </is>
      </c>
    </row>
    <row r="65">
      <c r="B65" s="24" t="n">
        <v>0.01</v>
      </c>
      <c r="C65" s="24" t="n">
        <v>0.015</v>
      </c>
      <c r="D65" s="24" t="n">
        <v>0.02</v>
      </c>
      <c r="E65" s="24" t="n">
        <v>0.025</v>
      </c>
      <c r="F65" s="24" t="n">
        <v>0.03</v>
      </c>
      <c r="G65" s="24" t="n">
        <v>0.035</v>
      </c>
      <c r="H65" s="24" t="n">
        <v>0.04</v>
      </c>
      <c r="I65" s="24" t="n">
        <v>0.045</v>
      </c>
      <c r="J65" s="24" t="n">
        <v>0.05</v>
      </c>
    </row>
    <row r="66">
      <c r="A66" s="25">
        <f>'DCF - FCFF'!$E$26-0.02</f>
        <v/>
      </c>
      <c r="B66" s="13">
        <f>IF($A66-B$65&lt;0.01,NA(),('DCF - FCFF'!$B$26*SUMPRODUCT(POWER(1+'DCF - FCFF'!$D$26,{1,2,3,4,5})/POWER(1+$A66,{1,2,3,4,5}))+'DCF - FCFF'!$B$26*POWER(1+'DCF - FCFF'!$D$26,5)*(1+B$65)/($A66-B$65)/POWER(1+$A66,5)-'DCF - FCFF'!$O$26)/'DCF - FCFF'!$Q$26)</f>
        <v/>
      </c>
      <c r="C66" s="13">
        <f>IF($A66-C$65&lt;0.01,NA(),('DCF - FCFF'!$B$26*SUMPRODUCT(POWER(1+'DCF - FCFF'!$D$26,{1,2,3,4,5})/POWER(1+$A66,{1,2,3,4,5}))+'DCF - FCFF'!$B$26*POWER(1+'DCF - FCFF'!$D$26,5)*(1+C$65)/($A66-C$65)/POWER(1+$A66,5)-'DCF - FCFF'!$O$26)/'DCF - FCFF'!$Q$26)</f>
        <v/>
      </c>
      <c r="D66" s="13">
        <f>IF($A66-D$65&lt;0.01,NA(),('DCF - FCFF'!$B$26*SUMPRODUCT(POWER(1+'DCF - FCFF'!$D$26,{1,2,3,4,5})/POWER(1+$A66,{1,2,3,4,5}))+'DCF - FCFF'!$B$26*POWER(1+'DCF - FCFF'!$D$26,5)*(1+D$65)/($A66-D$65)/POWER(1+$A66,5)-'DCF - FCFF'!$O$26)/'DCF - FCFF'!$Q$26)</f>
        <v/>
      </c>
      <c r="E66" s="13">
        <f>IF($A66-E$65&lt;0.01,NA(),('DCF - FCFF'!$B$26*SUMPRODUCT(POWER(1+'DCF - FCFF'!$D$26,{1,2,3,4,5})/POWER(1+$A66,{1,2,3,4,5}))+'DCF - FCFF'!$B$26*POWER(1+'DCF - FCFF'!$D$26,5)*(1+E$65)/($A66-E$65)/POWER(1+$A66,5)-'DCF - FCFF'!$O$26)/'DCF - FCFF'!$Q$26)</f>
        <v/>
      </c>
      <c r="F66" s="13">
        <f>IF($A66-F$65&lt;0.01,NA(),('DCF - FCFF'!$B$26*SUMPRODUCT(POWER(1+'DCF - FCFF'!$D$26,{1,2,3,4,5})/POWER(1+$A66,{1,2,3,4,5}))+'DCF - FCFF'!$B$26*POWER(1+'DCF - FCFF'!$D$26,5)*(1+F$65)/($A66-F$65)/POWER(1+$A66,5)-'DCF - FCFF'!$O$26)/'DCF - FCFF'!$Q$26)</f>
        <v/>
      </c>
      <c r="G66" s="13">
        <f>IF($A66-G$65&lt;0.01,NA(),('DCF - FCFF'!$B$26*SUMPRODUCT(POWER(1+'DCF - FCFF'!$D$26,{1,2,3,4,5})/POWER(1+$A66,{1,2,3,4,5}))+'DCF - FCFF'!$B$26*POWER(1+'DCF - FCFF'!$D$26,5)*(1+G$65)/($A66-G$65)/POWER(1+$A66,5)-'DCF - FCFF'!$O$26)/'DCF - FCFF'!$Q$26)</f>
        <v/>
      </c>
      <c r="H66" s="13">
        <f>IF($A66-H$65&lt;0.01,NA(),('DCF - FCFF'!$B$26*SUMPRODUCT(POWER(1+'DCF - FCFF'!$D$26,{1,2,3,4,5})/POWER(1+$A66,{1,2,3,4,5}))+'DCF - FCFF'!$B$26*POWER(1+'DCF - FCFF'!$D$26,5)*(1+H$65)/($A66-H$65)/POWER(1+$A66,5)-'DCF - FCFF'!$O$26)/'DCF - FCFF'!$Q$26)</f>
        <v/>
      </c>
      <c r="I66" s="13">
        <f>IF($A66-I$65&lt;0.01,NA(),('DCF - FCFF'!$B$26*SUMPRODUCT(POWER(1+'DCF - FCFF'!$D$26,{1,2,3,4,5})/POWER(1+$A66,{1,2,3,4,5}))+'DCF - FCFF'!$B$26*POWER(1+'DCF - FCFF'!$D$26,5)*(1+I$65)/($A66-I$65)/POWER(1+$A66,5)-'DCF - FCFF'!$O$26)/'DCF - FCFF'!$Q$26)</f>
        <v/>
      </c>
      <c r="J66" s="13">
        <f>IF($A66-J$65&lt;0.01,NA(),('DCF - FCFF'!$B$26*SUMPRODUCT(POWER(1+'DCF - FCFF'!$D$26,{1,2,3,4,5})/POWER(1+$A66,{1,2,3,4,5}))+'DCF - FCFF'!$B$26*POWER(1+'DCF - FCFF'!$D$26,5)*(1+J$65)/($A66-J$65)/POWER(1+$A66,5)-'DCF - FCFF'!$O$26)/'DCF - FCFF'!$Q$26)</f>
        <v/>
      </c>
    </row>
    <row r="67">
      <c r="A67" s="25">
        <f>'DCF - FCFF'!$E$26-0.015</f>
        <v/>
      </c>
      <c r="B67" s="13">
        <f>IF($A67-B$65&lt;0.01,NA(),('DCF - FCFF'!$B$26*SUMPRODUCT(POWER(1+'DCF - FCFF'!$D$26,{1,2,3,4,5})/POWER(1+$A67,{1,2,3,4,5}))+'DCF - FCFF'!$B$26*POWER(1+'DCF - FCFF'!$D$26,5)*(1+B$65)/($A67-B$65)/POWER(1+$A67,5)-'DCF - FCFF'!$O$26)/'DCF - FCFF'!$Q$26)</f>
        <v/>
      </c>
      <c r="C67" s="13">
        <f>IF($A67-C$65&lt;0.01,NA(),('DCF - FCFF'!$B$26*SUMPRODUCT(POWER(1+'DCF - FCFF'!$D$26,{1,2,3,4,5})/POWER(1+$A67,{1,2,3,4,5}))+'DCF - FCFF'!$B$26*POWER(1+'DCF - FCFF'!$D$26,5)*(1+C$65)/($A67-C$65)/POWER(1+$A67,5)-'DCF - FCFF'!$O$26)/'DCF - FCFF'!$Q$26)</f>
        <v/>
      </c>
      <c r="D67" s="13">
        <f>IF($A67-D$65&lt;0.01,NA(),('DCF - FCFF'!$B$26*SUMPRODUCT(POWER(1+'DCF - FCFF'!$D$26,{1,2,3,4,5})/POWER(1+$A67,{1,2,3,4,5}))+'DCF - FCFF'!$B$26*POWER(1+'DCF - FCFF'!$D$26,5)*(1+D$65)/($A67-D$65)/POWER(1+$A67,5)-'DCF - FCFF'!$O$26)/'DCF - FCFF'!$Q$26)</f>
        <v/>
      </c>
      <c r="E67" s="13">
        <f>IF($A67-E$65&lt;0.01,NA(),('DCF - FCFF'!$B$26*SUMPRODUCT(POWER(1+'DCF - FCFF'!$D$26,{1,2,3,4,5})/POWER(1+$A67,{1,2,3,4,5}))+'DCF - FCFF'!$B$26*POWER(1+'DCF - FCFF'!$D$26,5)*(1+E$65)/($A67-E$65)/POWER(1+$A67,5)-'DCF - FCFF'!$O$26)/'DCF - FCFF'!$Q$26)</f>
        <v/>
      </c>
      <c r="F67" s="13">
        <f>IF($A67-F$65&lt;0.01,NA(),('DCF - FCFF'!$B$26*SUMPRODUCT(POWER(1+'DCF - FCFF'!$D$26,{1,2,3,4,5})/POWER(1+$A67,{1,2,3,4,5}))+'DCF - FCFF'!$B$26*POWER(1+'DCF - FCFF'!$D$26,5)*(1+F$65)/($A67-F$65)/POWER(1+$A67,5)-'DCF - FCFF'!$O$26)/'DCF - FCFF'!$Q$26)</f>
        <v/>
      </c>
      <c r="G67" s="13">
        <f>IF($A67-G$65&lt;0.01,NA(),('DCF - FCFF'!$B$26*SUMPRODUCT(POWER(1+'DCF - FCFF'!$D$26,{1,2,3,4,5})/POWER(1+$A67,{1,2,3,4,5}))+'DCF - FCFF'!$B$26*POWER(1+'DCF - FCFF'!$D$26,5)*(1+G$65)/($A67-G$65)/POWER(1+$A67,5)-'DCF - FCFF'!$O$26)/'DCF - FCFF'!$Q$26)</f>
        <v/>
      </c>
      <c r="H67" s="13">
        <f>IF($A67-H$65&lt;0.01,NA(),('DCF - FCFF'!$B$26*SUMPRODUCT(POWER(1+'DCF - FCFF'!$D$26,{1,2,3,4,5})/POWER(1+$A67,{1,2,3,4,5}))+'DCF - FCFF'!$B$26*POWER(1+'DCF - FCFF'!$D$26,5)*(1+H$65)/($A67-H$65)/POWER(1+$A67,5)-'DCF - FCFF'!$O$26)/'DCF - FCFF'!$Q$26)</f>
        <v/>
      </c>
      <c r="I67" s="13">
        <f>IF($A67-I$65&lt;0.01,NA(),('DCF - FCFF'!$B$26*SUMPRODUCT(POWER(1+'DCF - FCFF'!$D$26,{1,2,3,4,5})/POWER(1+$A67,{1,2,3,4,5}))+'DCF - FCFF'!$B$26*POWER(1+'DCF - FCFF'!$D$26,5)*(1+I$65)/($A67-I$65)/POWER(1+$A67,5)-'DCF - FCFF'!$O$26)/'DCF - FCFF'!$Q$26)</f>
        <v/>
      </c>
      <c r="J67" s="13">
        <f>IF($A67-J$65&lt;0.01,NA(),('DCF - FCFF'!$B$26*SUMPRODUCT(POWER(1+'DCF - FCFF'!$D$26,{1,2,3,4,5})/POWER(1+$A67,{1,2,3,4,5}))+'DCF - FCFF'!$B$26*POWER(1+'DCF - FCFF'!$D$26,5)*(1+J$65)/($A67-J$65)/POWER(1+$A67,5)-'DCF - FCFF'!$O$26)/'DCF - FCFF'!$Q$26)</f>
        <v/>
      </c>
    </row>
    <row r="68">
      <c r="A68" s="25">
        <f>'DCF - FCFF'!$E$26-0.01</f>
        <v/>
      </c>
      <c r="B68" s="13">
        <f>IF($A68-B$65&lt;0.01,NA(),('DCF - FCFF'!$B$26*SUMPRODUCT(POWER(1+'DCF - FCFF'!$D$26,{1,2,3,4,5})/POWER(1+$A68,{1,2,3,4,5}))+'DCF - FCFF'!$B$26*POWER(1+'DCF - FCFF'!$D$26,5)*(1+B$65)/($A68-B$65)/POWER(1+$A68,5)-'DCF - FCFF'!$O$26)/'DCF - FCFF'!$Q$26)</f>
        <v/>
      </c>
      <c r="C68" s="13">
        <f>IF($A68-C$65&lt;0.01,NA(),('DCF - FCFF'!$B$26*SUMPRODUCT(POWER(1+'DCF - FCFF'!$D$26,{1,2,3,4,5})/POWER(1+$A68,{1,2,3,4,5}))+'DCF - FCFF'!$B$26*POWER(1+'DCF - FCFF'!$D$26,5)*(1+C$65)/($A68-C$65)/POWER(1+$A68,5)-'DCF - FCFF'!$O$26)/'DCF - FCFF'!$Q$26)</f>
        <v/>
      </c>
      <c r="D68" s="13">
        <f>IF($A68-D$65&lt;0.01,NA(),('DCF - FCFF'!$B$26*SUMPRODUCT(POWER(1+'DCF - FCFF'!$D$26,{1,2,3,4,5})/POWER(1+$A68,{1,2,3,4,5}))+'DCF - FCFF'!$B$26*POWER(1+'DCF - FCFF'!$D$26,5)*(1+D$65)/($A68-D$65)/POWER(1+$A68,5)-'DCF - FCFF'!$O$26)/'DCF - FCFF'!$Q$26)</f>
        <v/>
      </c>
      <c r="E68" s="13">
        <f>IF($A68-E$65&lt;0.01,NA(),('DCF - FCFF'!$B$26*SUMPRODUCT(POWER(1+'DCF - FCFF'!$D$26,{1,2,3,4,5})/POWER(1+$A68,{1,2,3,4,5}))+'DCF - FCFF'!$B$26*POWER(1+'DCF - FCFF'!$D$26,5)*(1+E$65)/($A68-E$65)/POWER(1+$A68,5)-'DCF - FCFF'!$O$26)/'DCF - FCFF'!$Q$26)</f>
        <v/>
      </c>
      <c r="F68" s="13">
        <f>IF($A68-F$65&lt;0.01,NA(),('DCF - FCFF'!$B$26*SUMPRODUCT(POWER(1+'DCF - FCFF'!$D$26,{1,2,3,4,5})/POWER(1+$A68,{1,2,3,4,5}))+'DCF - FCFF'!$B$26*POWER(1+'DCF - FCFF'!$D$26,5)*(1+F$65)/($A68-F$65)/POWER(1+$A68,5)-'DCF - FCFF'!$O$26)/'DCF - FCFF'!$Q$26)</f>
        <v/>
      </c>
      <c r="G68" s="13">
        <f>IF($A68-G$65&lt;0.01,NA(),('DCF - FCFF'!$B$26*SUMPRODUCT(POWER(1+'DCF - FCFF'!$D$26,{1,2,3,4,5})/POWER(1+$A68,{1,2,3,4,5}))+'DCF - FCFF'!$B$26*POWER(1+'DCF - FCFF'!$D$26,5)*(1+G$65)/($A68-G$65)/POWER(1+$A68,5)-'DCF - FCFF'!$O$26)/'DCF - FCFF'!$Q$26)</f>
        <v/>
      </c>
      <c r="H68" s="13">
        <f>IF($A68-H$65&lt;0.01,NA(),('DCF - FCFF'!$B$26*SUMPRODUCT(POWER(1+'DCF - FCFF'!$D$26,{1,2,3,4,5})/POWER(1+$A68,{1,2,3,4,5}))+'DCF - FCFF'!$B$26*POWER(1+'DCF - FCFF'!$D$26,5)*(1+H$65)/($A68-H$65)/POWER(1+$A68,5)-'DCF - FCFF'!$O$26)/'DCF - FCFF'!$Q$26)</f>
        <v/>
      </c>
      <c r="I68" s="13">
        <f>IF($A68-I$65&lt;0.01,NA(),('DCF - FCFF'!$B$26*SUMPRODUCT(POWER(1+'DCF - FCFF'!$D$26,{1,2,3,4,5})/POWER(1+$A68,{1,2,3,4,5}))+'DCF - FCFF'!$B$26*POWER(1+'DCF - FCFF'!$D$26,5)*(1+I$65)/($A68-I$65)/POWER(1+$A68,5)-'DCF - FCFF'!$O$26)/'DCF - FCFF'!$Q$26)</f>
        <v/>
      </c>
      <c r="J68" s="13">
        <f>IF($A68-J$65&lt;0.01,NA(),('DCF - FCFF'!$B$26*SUMPRODUCT(POWER(1+'DCF - FCFF'!$D$26,{1,2,3,4,5})/POWER(1+$A68,{1,2,3,4,5}))+'DCF - FCFF'!$B$26*POWER(1+'DCF - FCFF'!$D$26,5)*(1+J$65)/($A68-J$65)/POWER(1+$A68,5)-'DCF - FCFF'!$O$26)/'DCF - FCFF'!$Q$26)</f>
        <v/>
      </c>
    </row>
    <row r="69">
      <c r="A69" s="25">
        <f>'DCF - FCFF'!$E$26-0.005</f>
        <v/>
      </c>
      <c r="B69" s="13">
        <f>IF($A69-B$65&lt;0.01,NA(),('DCF - FCFF'!$B$26*SUMPRODUCT(POWER(1+'DCF - FCFF'!$D$26,{1,2,3,4,5})/POWER(1+$A69,{1,2,3,4,5}))+'DCF - FCFF'!$B$26*POWER(1+'DCF - FCFF'!$D$26,5)*(1+B$65)/($A69-B$65)/POWER(1+$A69,5)-'DCF - FCFF'!$O$26)/'DCF - FCFF'!$Q$26)</f>
        <v/>
      </c>
      <c r="C69" s="13">
        <f>IF($A69-C$65&lt;0.01,NA(),('DCF - FCFF'!$B$26*SUMPRODUCT(POWER(1+'DCF - FCFF'!$D$26,{1,2,3,4,5})/POWER(1+$A69,{1,2,3,4,5}))+'DCF - FCFF'!$B$26*POWER(1+'DCF - FCFF'!$D$26,5)*(1+C$65)/($A69-C$65)/POWER(1+$A69,5)-'DCF - FCFF'!$O$26)/'DCF - FCFF'!$Q$26)</f>
        <v/>
      </c>
      <c r="D69" s="13">
        <f>IF($A69-D$65&lt;0.01,NA(),('DCF - FCFF'!$B$26*SUMPRODUCT(POWER(1+'DCF - FCFF'!$D$26,{1,2,3,4,5})/POWER(1+$A69,{1,2,3,4,5}))+'DCF - FCFF'!$B$26*POWER(1+'DCF - FCFF'!$D$26,5)*(1+D$65)/($A69-D$65)/POWER(1+$A69,5)-'DCF - FCFF'!$O$26)/'DCF - FCFF'!$Q$26)</f>
        <v/>
      </c>
      <c r="E69" s="13">
        <f>IF($A69-E$65&lt;0.01,NA(),('DCF - FCFF'!$B$26*SUMPRODUCT(POWER(1+'DCF - FCFF'!$D$26,{1,2,3,4,5})/POWER(1+$A69,{1,2,3,4,5}))+'DCF - FCFF'!$B$26*POWER(1+'DCF - FCFF'!$D$26,5)*(1+E$65)/($A69-E$65)/POWER(1+$A69,5)-'DCF - FCFF'!$O$26)/'DCF - FCFF'!$Q$26)</f>
        <v/>
      </c>
      <c r="F69" s="13">
        <f>IF($A69-F$65&lt;0.01,NA(),('DCF - FCFF'!$B$26*SUMPRODUCT(POWER(1+'DCF - FCFF'!$D$26,{1,2,3,4,5})/POWER(1+$A69,{1,2,3,4,5}))+'DCF - FCFF'!$B$26*POWER(1+'DCF - FCFF'!$D$26,5)*(1+F$65)/($A69-F$65)/POWER(1+$A69,5)-'DCF - FCFF'!$O$26)/'DCF - FCFF'!$Q$26)</f>
        <v/>
      </c>
      <c r="G69" s="13">
        <f>IF($A69-G$65&lt;0.01,NA(),('DCF - FCFF'!$B$26*SUMPRODUCT(POWER(1+'DCF - FCFF'!$D$26,{1,2,3,4,5})/POWER(1+$A69,{1,2,3,4,5}))+'DCF - FCFF'!$B$26*POWER(1+'DCF - FCFF'!$D$26,5)*(1+G$65)/($A69-G$65)/POWER(1+$A69,5)-'DCF - FCFF'!$O$26)/'DCF - FCFF'!$Q$26)</f>
        <v/>
      </c>
      <c r="H69" s="13">
        <f>IF($A69-H$65&lt;0.01,NA(),('DCF - FCFF'!$B$26*SUMPRODUCT(POWER(1+'DCF - FCFF'!$D$26,{1,2,3,4,5})/POWER(1+$A69,{1,2,3,4,5}))+'DCF - FCFF'!$B$26*POWER(1+'DCF - FCFF'!$D$26,5)*(1+H$65)/($A69-H$65)/POWER(1+$A69,5)-'DCF - FCFF'!$O$26)/'DCF - FCFF'!$Q$26)</f>
        <v/>
      </c>
      <c r="I69" s="13">
        <f>IF($A69-I$65&lt;0.01,NA(),('DCF - FCFF'!$B$26*SUMPRODUCT(POWER(1+'DCF - FCFF'!$D$26,{1,2,3,4,5})/POWER(1+$A69,{1,2,3,4,5}))+'DCF - FCFF'!$B$26*POWER(1+'DCF - FCFF'!$D$26,5)*(1+I$65)/($A69-I$65)/POWER(1+$A69,5)-'DCF - FCFF'!$O$26)/'DCF - FCFF'!$Q$26)</f>
        <v/>
      </c>
      <c r="J69" s="13">
        <f>IF($A69-J$65&lt;0.01,NA(),('DCF - FCFF'!$B$26*SUMPRODUCT(POWER(1+'DCF - FCFF'!$D$26,{1,2,3,4,5})/POWER(1+$A69,{1,2,3,4,5}))+'DCF - FCFF'!$B$26*POWER(1+'DCF - FCFF'!$D$26,5)*(1+J$65)/($A69-J$65)/POWER(1+$A69,5)-'DCF - FCFF'!$O$26)/'DCF - FCFF'!$Q$26)</f>
        <v/>
      </c>
    </row>
    <row r="70">
      <c r="A70" s="25">
        <f>'DCF - FCFF'!$E$26+0.0</f>
        <v/>
      </c>
      <c r="B70" s="13">
        <f>IF($A70-B$65&lt;0.01,NA(),('DCF - FCFF'!$B$26*SUMPRODUCT(POWER(1+'DCF - FCFF'!$D$26,{1,2,3,4,5})/POWER(1+$A70,{1,2,3,4,5}))+'DCF - FCFF'!$B$26*POWER(1+'DCF - FCFF'!$D$26,5)*(1+B$65)/($A70-B$65)/POWER(1+$A70,5)-'DCF - FCFF'!$O$26)/'DCF - FCFF'!$Q$26)</f>
        <v/>
      </c>
      <c r="C70" s="13">
        <f>IF($A70-C$65&lt;0.01,NA(),('DCF - FCFF'!$B$26*SUMPRODUCT(POWER(1+'DCF - FCFF'!$D$26,{1,2,3,4,5})/POWER(1+$A70,{1,2,3,4,5}))+'DCF - FCFF'!$B$26*POWER(1+'DCF - FCFF'!$D$26,5)*(1+C$65)/($A70-C$65)/POWER(1+$A70,5)-'DCF - FCFF'!$O$26)/'DCF - FCFF'!$Q$26)</f>
        <v/>
      </c>
      <c r="D70" s="13">
        <f>IF($A70-D$65&lt;0.01,NA(),('DCF - FCFF'!$B$26*SUMPRODUCT(POWER(1+'DCF - FCFF'!$D$26,{1,2,3,4,5})/POWER(1+$A70,{1,2,3,4,5}))+'DCF - FCFF'!$B$26*POWER(1+'DCF - FCFF'!$D$26,5)*(1+D$65)/($A70-D$65)/POWER(1+$A70,5)-'DCF - FCFF'!$O$26)/'DCF - FCFF'!$Q$26)</f>
        <v/>
      </c>
      <c r="E70" s="13">
        <f>IF($A70-E$65&lt;0.01,NA(),('DCF - FCFF'!$B$26*SUMPRODUCT(POWER(1+'DCF - FCFF'!$D$26,{1,2,3,4,5})/POWER(1+$A70,{1,2,3,4,5}))+'DCF - FCFF'!$B$26*POWER(1+'DCF - FCFF'!$D$26,5)*(1+E$65)/($A70-E$65)/POWER(1+$A70,5)-'DCF - FCFF'!$O$26)/'DCF - FCFF'!$Q$26)</f>
        <v/>
      </c>
      <c r="F70" s="13">
        <f>IF($A70-F$65&lt;0.01,NA(),('DCF - FCFF'!$B$26*SUMPRODUCT(POWER(1+'DCF - FCFF'!$D$26,{1,2,3,4,5})/POWER(1+$A70,{1,2,3,4,5}))+'DCF - FCFF'!$B$26*POWER(1+'DCF - FCFF'!$D$26,5)*(1+F$65)/($A70-F$65)/POWER(1+$A70,5)-'DCF - FCFF'!$O$26)/'DCF - FCFF'!$Q$26)</f>
        <v/>
      </c>
      <c r="G70" s="13">
        <f>IF($A70-G$65&lt;0.01,NA(),('DCF - FCFF'!$B$26*SUMPRODUCT(POWER(1+'DCF - FCFF'!$D$26,{1,2,3,4,5})/POWER(1+$A70,{1,2,3,4,5}))+'DCF - FCFF'!$B$26*POWER(1+'DCF - FCFF'!$D$26,5)*(1+G$65)/($A70-G$65)/POWER(1+$A70,5)-'DCF - FCFF'!$O$26)/'DCF - FCFF'!$Q$26)</f>
        <v/>
      </c>
      <c r="H70" s="34">
        <f>IF($A70-H$65&lt;0.01,NA(),('DCF - FCFF'!$B$26*SUMPRODUCT(POWER(1+'DCF - FCFF'!$D$26,{1,2,3,4,5})/POWER(1+$A70,{1,2,3,4,5}))+'DCF - FCFF'!$B$26*POWER(1+'DCF - FCFF'!$D$26,5)*(1+H$65)/($A70-H$65)/POWER(1+$A70,5)-'DCF - FCFF'!$O$26)/'DCF - FCFF'!$Q$26)</f>
        <v/>
      </c>
      <c r="I70" s="13">
        <f>IF($A70-I$65&lt;0.01,NA(),('DCF - FCFF'!$B$26*SUMPRODUCT(POWER(1+'DCF - FCFF'!$D$26,{1,2,3,4,5})/POWER(1+$A70,{1,2,3,4,5}))+'DCF - FCFF'!$B$26*POWER(1+'DCF - FCFF'!$D$26,5)*(1+I$65)/($A70-I$65)/POWER(1+$A70,5)-'DCF - FCFF'!$O$26)/'DCF - FCFF'!$Q$26)</f>
        <v/>
      </c>
      <c r="J70" s="13">
        <f>IF($A70-J$65&lt;0.01,NA(),('DCF - FCFF'!$B$26*SUMPRODUCT(POWER(1+'DCF - FCFF'!$D$26,{1,2,3,4,5})/POWER(1+$A70,{1,2,3,4,5}))+'DCF - FCFF'!$B$26*POWER(1+'DCF - FCFF'!$D$26,5)*(1+J$65)/($A70-J$65)/POWER(1+$A70,5)-'DCF - FCFF'!$O$26)/'DCF - FCFF'!$Q$26)</f>
        <v/>
      </c>
    </row>
    <row r="71">
      <c r="A71" s="25">
        <f>'DCF - FCFF'!$E$26+0.005</f>
        <v/>
      </c>
      <c r="B71" s="13">
        <f>IF($A71-B$65&lt;0.01,NA(),('DCF - FCFF'!$B$26*SUMPRODUCT(POWER(1+'DCF - FCFF'!$D$26,{1,2,3,4,5})/POWER(1+$A71,{1,2,3,4,5}))+'DCF - FCFF'!$B$26*POWER(1+'DCF - FCFF'!$D$26,5)*(1+B$65)/($A71-B$65)/POWER(1+$A71,5)-'DCF - FCFF'!$O$26)/'DCF - FCFF'!$Q$26)</f>
        <v/>
      </c>
      <c r="C71" s="13">
        <f>IF($A71-C$65&lt;0.01,NA(),('DCF - FCFF'!$B$26*SUMPRODUCT(POWER(1+'DCF - FCFF'!$D$26,{1,2,3,4,5})/POWER(1+$A71,{1,2,3,4,5}))+'DCF - FCFF'!$B$26*POWER(1+'DCF - FCFF'!$D$26,5)*(1+C$65)/($A71-C$65)/POWER(1+$A71,5)-'DCF - FCFF'!$O$26)/'DCF - FCFF'!$Q$26)</f>
        <v/>
      </c>
      <c r="D71" s="13">
        <f>IF($A71-D$65&lt;0.01,NA(),('DCF - FCFF'!$B$26*SUMPRODUCT(POWER(1+'DCF - FCFF'!$D$26,{1,2,3,4,5})/POWER(1+$A71,{1,2,3,4,5}))+'DCF - FCFF'!$B$26*POWER(1+'DCF - FCFF'!$D$26,5)*(1+D$65)/($A71-D$65)/POWER(1+$A71,5)-'DCF - FCFF'!$O$26)/'DCF - FCFF'!$Q$26)</f>
        <v/>
      </c>
      <c r="E71" s="13">
        <f>IF($A71-E$65&lt;0.01,NA(),('DCF - FCFF'!$B$26*SUMPRODUCT(POWER(1+'DCF - FCFF'!$D$26,{1,2,3,4,5})/POWER(1+$A71,{1,2,3,4,5}))+'DCF - FCFF'!$B$26*POWER(1+'DCF - FCFF'!$D$26,5)*(1+E$65)/($A71-E$65)/POWER(1+$A71,5)-'DCF - FCFF'!$O$26)/'DCF - FCFF'!$Q$26)</f>
        <v/>
      </c>
      <c r="F71" s="13">
        <f>IF($A71-F$65&lt;0.01,NA(),('DCF - FCFF'!$B$26*SUMPRODUCT(POWER(1+'DCF - FCFF'!$D$26,{1,2,3,4,5})/POWER(1+$A71,{1,2,3,4,5}))+'DCF - FCFF'!$B$26*POWER(1+'DCF - FCFF'!$D$26,5)*(1+F$65)/($A71-F$65)/POWER(1+$A71,5)-'DCF - FCFF'!$O$26)/'DCF - FCFF'!$Q$26)</f>
        <v/>
      </c>
      <c r="G71" s="13">
        <f>IF($A71-G$65&lt;0.01,NA(),('DCF - FCFF'!$B$26*SUMPRODUCT(POWER(1+'DCF - FCFF'!$D$26,{1,2,3,4,5})/POWER(1+$A71,{1,2,3,4,5}))+'DCF - FCFF'!$B$26*POWER(1+'DCF - FCFF'!$D$26,5)*(1+G$65)/($A71-G$65)/POWER(1+$A71,5)-'DCF - FCFF'!$O$26)/'DCF - FCFF'!$Q$26)</f>
        <v/>
      </c>
      <c r="H71" s="13">
        <f>IF($A71-H$65&lt;0.01,NA(),('DCF - FCFF'!$B$26*SUMPRODUCT(POWER(1+'DCF - FCFF'!$D$26,{1,2,3,4,5})/POWER(1+$A71,{1,2,3,4,5}))+'DCF - FCFF'!$B$26*POWER(1+'DCF - FCFF'!$D$26,5)*(1+H$65)/($A71-H$65)/POWER(1+$A71,5)-'DCF - FCFF'!$O$26)/'DCF - FCFF'!$Q$26)</f>
        <v/>
      </c>
      <c r="I71" s="13">
        <f>IF($A71-I$65&lt;0.01,NA(),('DCF - FCFF'!$B$26*SUMPRODUCT(POWER(1+'DCF - FCFF'!$D$26,{1,2,3,4,5})/POWER(1+$A71,{1,2,3,4,5}))+'DCF - FCFF'!$B$26*POWER(1+'DCF - FCFF'!$D$26,5)*(1+I$65)/($A71-I$65)/POWER(1+$A71,5)-'DCF - FCFF'!$O$26)/'DCF - FCFF'!$Q$26)</f>
        <v/>
      </c>
      <c r="J71" s="13">
        <f>IF($A71-J$65&lt;0.01,NA(),('DCF - FCFF'!$B$26*SUMPRODUCT(POWER(1+'DCF - FCFF'!$D$26,{1,2,3,4,5})/POWER(1+$A71,{1,2,3,4,5}))+'DCF - FCFF'!$B$26*POWER(1+'DCF - FCFF'!$D$26,5)*(1+J$65)/($A71-J$65)/POWER(1+$A71,5)-'DCF - FCFF'!$O$26)/'DCF - FCFF'!$Q$26)</f>
        <v/>
      </c>
    </row>
    <row r="72">
      <c r="A72" s="25">
        <f>'DCF - FCFF'!$E$26+0.01</f>
        <v/>
      </c>
      <c r="B72" s="13">
        <f>IF($A72-B$65&lt;0.01,NA(),('DCF - FCFF'!$B$26*SUMPRODUCT(POWER(1+'DCF - FCFF'!$D$26,{1,2,3,4,5})/POWER(1+$A72,{1,2,3,4,5}))+'DCF - FCFF'!$B$26*POWER(1+'DCF - FCFF'!$D$26,5)*(1+B$65)/($A72-B$65)/POWER(1+$A72,5)-'DCF - FCFF'!$O$26)/'DCF - FCFF'!$Q$26)</f>
        <v/>
      </c>
      <c r="C72" s="13">
        <f>IF($A72-C$65&lt;0.01,NA(),('DCF - FCFF'!$B$26*SUMPRODUCT(POWER(1+'DCF - FCFF'!$D$26,{1,2,3,4,5})/POWER(1+$A72,{1,2,3,4,5}))+'DCF - FCFF'!$B$26*POWER(1+'DCF - FCFF'!$D$26,5)*(1+C$65)/($A72-C$65)/POWER(1+$A72,5)-'DCF - FCFF'!$O$26)/'DCF - FCFF'!$Q$26)</f>
        <v/>
      </c>
      <c r="D72" s="13">
        <f>IF($A72-D$65&lt;0.01,NA(),('DCF - FCFF'!$B$26*SUMPRODUCT(POWER(1+'DCF - FCFF'!$D$26,{1,2,3,4,5})/POWER(1+$A72,{1,2,3,4,5}))+'DCF - FCFF'!$B$26*POWER(1+'DCF - FCFF'!$D$26,5)*(1+D$65)/($A72-D$65)/POWER(1+$A72,5)-'DCF - FCFF'!$O$26)/'DCF - FCFF'!$Q$26)</f>
        <v/>
      </c>
      <c r="E72" s="13">
        <f>IF($A72-E$65&lt;0.01,NA(),('DCF - FCFF'!$B$26*SUMPRODUCT(POWER(1+'DCF - FCFF'!$D$26,{1,2,3,4,5})/POWER(1+$A72,{1,2,3,4,5}))+'DCF - FCFF'!$B$26*POWER(1+'DCF - FCFF'!$D$26,5)*(1+E$65)/($A72-E$65)/POWER(1+$A72,5)-'DCF - FCFF'!$O$26)/'DCF - FCFF'!$Q$26)</f>
        <v/>
      </c>
      <c r="F72" s="13">
        <f>IF($A72-F$65&lt;0.01,NA(),('DCF - FCFF'!$B$26*SUMPRODUCT(POWER(1+'DCF - FCFF'!$D$26,{1,2,3,4,5})/POWER(1+$A72,{1,2,3,4,5}))+'DCF - FCFF'!$B$26*POWER(1+'DCF - FCFF'!$D$26,5)*(1+F$65)/($A72-F$65)/POWER(1+$A72,5)-'DCF - FCFF'!$O$26)/'DCF - FCFF'!$Q$26)</f>
        <v/>
      </c>
      <c r="G72" s="13">
        <f>IF($A72-G$65&lt;0.01,NA(),('DCF - FCFF'!$B$26*SUMPRODUCT(POWER(1+'DCF - FCFF'!$D$26,{1,2,3,4,5})/POWER(1+$A72,{1,2,3,4,5}))+'DCF - FCFF'!$B$26*POWER(1+'DCF - FCFF'!$D$26,5)*(1+G$65)/($A72-G$65)/POWER(1+$A72,5)-'DCF - FCFF'!$O$26)/'DCF - FCFF'!$Q$26)</f>
        <v/>
      </c>
      <c r="H72" s="13">
        <f>IF($A72-H$65&lt;0.01,NA(),('DCF - FCFF'!$B$26*SUMPRODUCT(POWER(1+'DCF - FCFF'!$D$26,{1,2,3,4,5})/POWER(1+$A72,{1,2,3,4,5}))+'DCF - FCFF'!$B$26*POWER(1+'DCF - FCFF'!$D$26,5)*(1+H$65)/($A72-H$65)/POWER(1+$A72,5)-'DCF - FCFF'!$O$26)/'DCF - FCFF'!$Q$26)</f>
        <v/>
      </c>
      <c r="I72" s="13">
        <f>IF($A72-I$65&lt;0.01,NA(),('DCF - FCFF'!$B$26*SUMPRODUCT(POWER(1+'DCF - FCFF'!$D$26,{1,2,3,4,5})/POWER(1+$A72,{1,2,3,4,5}))+'DCF - FCFF'!$B$26*POWER(1+'DCF - FCFF'!$D$26,5)*(1+I$65)/($A72-I$65)/POWER(1+$A72,5)-'DCF - FCFF'!$O$26)/'DCF - FCFF'!$Q$26)</f>
        <v/>
      </c>
      <c r="J72" s="13">
        <f>IF($A72-J$65&lt;0.01,NA(),('DCF - FCFF'!$B$26*SUMPRODUCT(POWER(1+'DCF - FCFF'!$D$26,{1,2,3,4,5})/POWER(1+$A72,{1,2,3,4,5}))+'DCF - FCFF'!$B$26*POWER(1+'DCF - FCFF'!$D$26,5)*(1+J$65)/($A72-J$65)/POWER(1+$A72,5)-'DCF - FCFF'!$O$26)/'DCF - FCFF'!$Q$26)</f>
        <v/>
      </c>
    </row>
    <row r="73">
      <c r="A73" s="25">
        <f>'DCF - FCFF'!$E$26+0.015</f>
        <v/>
      </c>
      <c r="B73" s="13">
        <f>IF($A73-B$65&lt;0.01,NA(),('DCF - FCFF'!$B$26*SUMPRODUCT(POWER(1+'DCF - FCFF'!$D$26,{1,2,3,4,5})/POWER(1+$A73,{1,2,3,4,5}))+'DCF - FCFF'!$B$26*POWER(1+'DCF - FCFF'!$D$26,5)*(1+B$65)/($A73-B$65)/POWER(1+$A73,5)-'DCF - FCFF'!$O$26)/'DCF - FCFF'!$Q$26)</f>
        <v/>
      </c>
      <c r="C73" s="13">
        <f>IF($A73-C$65&lt;0.01,NA(),('DCF - FCFF'!$B$26*SUMPRODUCT(POWER(1+'DCF - FCFF'!$D$26,{1,2,3,4,5})/POWER(1+$A73,{1,2,3,4,5}))+'DCF - FCFF'!$B$26*POWER(1+'DCF - FCFF'!$D$26,5)*(1+C$65)/($A73-C$65)/POWER(1+$A73,5)-'DCF - FCFF'!$O$26)/'DCF - FCFF'!$Q$26)</f>
        <v/>
      </c>
      <c r="D73" s="13">
        <f>IF($A73-D$65&lt;0.01,NA(),('DCF - FCFF'!$B$26*SUMPRODUCT(POWER(1+'DCF - FCFF'!$D$26,{1,2,3,4,5})/POWER(1+$A73,{1,2,3,4,5}))+'DCF - FCFF'!$B$26*POWER(1+'DCF - FCFF'!$D$26,5)*(1+D$65)/($A73-D$65)/POWER(1+$A73,5)-'DCF - FCFF'!$O$26)/'DCF - FCFF'!$Q$26)</f>
        <v/>
      </c>
      <c r="E73" s="13">
        <f>IF($A73-E$65&lt;0.01,NA(),('DCF - FCFF'!$B$26*SUMPRODUCT(POWER(1+'DCF - FCFF'!$D$26,{1,2,3,4,5})/POWER(1+$A73,{1,2,3,4,5}))+'DCF - FCFF'!$B$26*POWER(1+'DCF - FCFF'!$D$26,5)*(1+E$65)/($A73-E$65)/POWER(1+$A73,5)-'DCF - FCFF'!$O$26)/'DCF - FCFF'!$Q$26)</f>
        <v/>
      </c>
      <c r="F73" s="13">
        <f>IF($A73-F$65&lt;0.01,NA(),('DCF - FCFF'!$B$26*SUMPRODUCT(POWER(1+'DCF - FCFF'!$D$26,{1,2,3,4,5})/POWER(1+$A73,{1,2,3,4,5}))+'DCF - FCFF'!$B$26*POWER(1+'DCF - FCFF'!$D$26,5)*(1+F$65)/($A73-F$65)/POWER(1+$A73,5)-'DCF - FCFF'!$O$26)/'DCF - FCFF'!$Q$26)</f>
        <v/>
      </c>
      <c r="G73" s="13">
        <f>IF($A73-G$65&lt;0.01,NA(),('DCF - FCFF'!$B$26*SUMPRODUCT(POWER(1+'DCF - FCFF'!$D$26,{1,2,3,4,5})/POWER(1+$A73,{1,2,3,4,5}))+'DCF - FCFF'!$B$26*POWER(1+'DCF - FCFF'!$D$26,5)*(1+G$65)/($A73-G$65)/POWER(1+$A73,5)-'DCF - FCFF'!$O$26)/'DCF - FCFF'!$Q$26)</f>
        <v/>
      </c>
      <c r="H73" s="13">
        <f>IF($A73-H$65&lt;0.01,NA(),('DCF - FCFF'!$B$26*SUMPRODUCT(POWER(1+'DCF - FCFF'!$D$26,{1,2,3,4,5})/POWER(1+$A73,{1,2,3,4,5}))+'DCF - FCFF'!$B$26*POWER(1+'DCF - FCFF'!$D$26,5)*(1+H$65)/($A73-H$65)/POWER(1+$A73,5)-'DCF - FCFF'!$O$26)/'DCF - FCFF'!$Q$26)</f>
        <v/>
      </c>
      <c r="I73" s="13">
        <f>IF($A73-I$65&lt;0.01,NA(),('DCF - FCFF'!$B$26*SUMPRODUCT(POWER(1+'DCF - FCFF'!$D$26,{1,2,3,4,5})/POWER(1+$A73,{1,2,3,4,5}))+'DCF - FCFF'!$B$26*POWER(1+'DCF - FCFF'!$D$26,5)*(1+I$65)/($A73-I$65)/POWER(1+$A73,5)-'DCF - FCFF'!$O$26)/'DCF - FCFF'!$Q$26)</f>
        <v/>
      </c>
      <c r="J73" s="13">
        <f>IF($A73-J$65&lt;0.01,NA(),('DCF - FCFF'!$B$26*SUMPRODUCT(POWER(1+'DCF - FCFF'!$D$26,{1,2,3,4,5})/POWER(1+$A73,{1,2,3,4,5}))+'DCF - FCFF'!$B$26*POWER(1+'DCF - FCFF'!$D$26,5)*(1+J$65)/($A73-J$65)/POWER(1+$A73,5)-'DCF - FCFF'!$O$26)/'DCF - FCFF'!$Q$26)</f>
        <v/>
      </c>
    </row>
    <row r="74">
      <c r="A74" s="25">
        <f>'DCF - FCFF'!$E$26+0.02</f>
        <v/>
      </c>
      <c r="B74" s="13">
        <f>IF($A74-B$65&lt;0.01,NA(),('DCF - FCFF'!$B$26*SUMPRODUCT(POWER(1+'DCF - FCFF'!$D$26,{1,2,3,4,5})/POWER(1+$A74,{1,2,3,4,5}))+'DCF - FCFF'!$B$26*POWER(1+'DCF - FCFF'!$D$26,5)*(1+B$65)/($A74-B$65)/POWER(1+$A74,5)-'DCF - FCFF'!$O$26)/'DCF - FCFF'!$Q$26)</f>
        <v/>
      </c>
      <c r="C74" s="13">
        <f>IF($A74-C$65&lt;0.01,NA(),('DCF - FCFF'!$B$26*SUMPRODUCT(POWER(1+'DCF - FCFF'!$D$26,{1,2,3,4,5})/POWER(1+$A74,{1,2,3,4,5}))+'DCF - FCFF'!$B$26*POWER(1+'DCF - FCFF'!$D$26,5)*(1+C$65)/($A74-C$65)/POWER(1+$A74,5)-'DCF - FCFF'!$O$26)/'DCF - FCFF'!$Q$26)</f>
        <v/>
      </c>
      <c r="D74" s="13">
        <f>IF($A74-D$65&lt;0.01,NA(),('DCF - FCFF'!$B$26*SUMPRODUCT(POWER(1+'DCF - FCFF'!$D$26,{1,2,3,4,5})/POWER(1+$A74,{1,2,3,4,5}))+'DCF - FCFF'!$B$26*POWER(1+'DCF - FCFF'!$D$26,5)*(1+D$65)/($A74-D$65)/POWER(1+$A74,5)-'DCF - FCFF'!$O$26)/'DCF - FCFF'!$Q$26)</f>
        <v/>
      </c>
      <c r="E74" s="13">
        <f>IF($A74-E$65&lt;0.01,NA(),('DCF - FCFF'!$B$26*SUMPRODUCT(POWER(1+'DCF - FCFF'!$D$26,{1,2,3,4,5})/POWER(1+$A74,{1,2,3,4,5}))+'DCF - FCFF'!$B$26*POWER(1+'DCF - FCFF'!$D$26,5)*(1+E$65)/($A74-E$65)/POWER(1+$A74,5)-'DCF - FCFF'!$O$26)/'DCF - FCFF'!$Q$26)</f>
        <v/>
      </c>
      <c r="F74" s="13">
        <f>IF($A74-F$65&lt;0.01,NA(),('DCF - FCFF'!$B$26*SUMPRODUCT(POWER(1+'DCF - FCFF'!$D$26,{1,2,3,4,5})/POWER(1+$A74,{1,2,3,4,5}))+'DCF - FCFF'!$B$26*POWER(1+'DCF - FCFF'!$D$26,5)*(1+F$65)/($A74-F$65)/POWER(1+$A74,5)-'DCF - FCFF'!$O$26)/'DCF - FCFF'!$Q$26)</f>
        <v/>
      </c>
      <c r="G74" s="13">
        <f>IF($A74-G$65&lt;0.01,NA(),('DCF - FCFF'!$B$26*SUMPRODUCT(POWER(1+'DCF - FCFF'!$D$26,{1,2,3,4,5})/POWER(1+$A74,{1,2,3,4,5}))+'DCF - FCFF'!$B$26*POWER(1+'DCF - FCFF'!$D$26,5)*(1+G$65)/($A74-G$65)/POWER(1+$A74,5)-'DCF - FCFF'!$O$26)/'DCF - FCFF'!$Q$26)</f>
        <v/>
      </c>
      <c r="H74" s="13">
        <f>IF($A74-H$65&lt;0.01,NA(),('DCF - FCFF'!$B$26*SUMPRODUCT(POWER(1+'DCF - FCFF'!$D$26,{1,2,3,4,5})/POWER(1+$A74,{1,2,3,4,5}))+'DCF - FCFF'!$B$26*POWER(1+'DCF - FCFF'!$D$26,5)*(1+H$65)/($A74-H$65)/POWER(1+$A74,5)-'DCF - FCFF'!$O$26)/'DCF - FCFF'!$Q$26)</f>
        <v/>
      </c>
      <c r="I74" s="13">
        <f>IF($A74-I$65&lt;0.01,NA(),('DCF - FCFF'!$B$26*SUMPRODUCT(POWER(1+'DCF - FCFF'!$D$26,{1,2,3,4,5})/POWER(1+$A74,{1,2,3,4,5}))+'DCF - FCFF'!$B$26*POWER(1+'DCF - FCFF'!$D$26,5)*(1+I$65)/($A74-I$65)/POWER(1+$A74,5)-'DCF - FCFF'!$O$26)/'DCF - FCFF'!$Q$26)</f>
        <v/>
      </c>
      <c r="J74" s="13">
        <f>IF($A74-J$65&lt;0.01,NA(),('DCF - FCFF'!$B$26*SUMPRODUCT(POWER(1+'DCF - FCFF'!$D$26,{1,2,3,4,5})/POWER(1+$A74,{1,2,3,4,5}))+'DCF - FCFF'!$B$26*POWER(1+'DCF - FCFF'!$D$26,5)*(1+J$65)/($A74-J$65)/POWER(1+$A74,5)-'DCF - FCFF'!$O$26)/'DCF - FCFF'!$Q$26)</f>
        <v/>
      </c>
    </row>
    <row r="76">
      <c r="A76" s="3" t="inlineStr">
        <is>
          <t>Godrej</t>
        </is>
      </c>
      <c r="B76" s="13">
        <f>'Market Data'!$C$8</f>
        <v/>
      </c>
      <c r="C76" s="2" t="inlineStr">
        <is>
          <t>← market price · rows: WACC · cols: terminal g</t>
        </is>
      </c>
    </row>
    <row r="77">
      <c r="B77" s="24" t="n">
        <v>0.01</v>
      </c>
      <c r="C77" s="24" t="n">
        <v>0.015</v>
      </c>
      <c r="D77" s="24" t="n">
        <v>0.02</v>
      </c>
      <c r="E77" s="24" t="n">
        <v>0.025</v>
      </c>
      <c r="F77" s="24" t="n">
        <v>0.03</v>
      </c>
      <c r="G77" s="24" t="n">
        <v>0.035</v>
      </c>
      <c r="H77" s="24" t="n">
        <v>0.04</v>
      </c>
      <c r="I77" s="24" t="n">
        <v>0.045</v>
      </c>
      <c r="J77" s="24" t="n">
        <v>0.05</v>
      </c>
    </row>
    <row r="78">
      <c r="A78" s="25">
        <f>'DCF - FCFF'!$E$27-0.02</f>
        <v/>
      </c>
      <c r="B78" s="13">
        <f>IF($A78-B$77&lt;0.01,NA(),('DCF - FCFF'!$B$27*SUMPRODUCT(POWER(1+'DCF - FCFF'!$D$27,{1,2,3,4,5})/POWER(1+$A78,{1,2,3,4,5}))+'DCF - FCFF'!$B$27*POWER(1+'DCF - FCFF'!$D$27,5)*(1+B$77)/($A78-B$77)/POWER(1+$A78,5)-'DCF - FCFF'!$O$27)/'DCF - FCFF'!$Q$27)</f>
        <v/>
      </c>
      <c r="C78" s="13">
        <f>IF($A78-C$77&lt;0.01,NA(),('DCF - FCFF'!$B$27*SUMPRODUCT(POWER(1+'DCF - FCFF'!$D$27,{1,2,3,4,5})/POWER(1+$A78,{1,2,3,4,5}))+'DCF - FCFF'!$B$27*POWER(1+'DCF - FCFF'!$D$27,5)*(1+C$77)/($A78-C$77)/POWER(1+$A78,5)-'DCF - FCFF'!$O$27)/'DCF - FCFF'!$Q$27)</f>
        <v/>
      </c>
      <c r="D78" s="13">
        <f>IF($A78-D$77&lt;0.01,NA(),('DCF - FCFF'!$B$27*SUMPRODUCT(POWER(1+'DCF - FCFF'!$D$27,{1,2,3,4,5})/POWER(1+$A78,{1,2,3,4,5}))+'DCF - FCFF'!$B$27*POWER(1+'DCF - FCFF'!$D$27,5)*(1+D$77)/($A78-D$77)/POWER(1+$A78,5)-'DCF - FCFF'!$O$27)/'DCF - FCFF'!$Q$27)</f>
        <v/>
      </c>
      <c r="E78" s="13">
        <f>IF($A78-E$77&lt;0.01,NA(),('DCF - FCFF'!$B$27*SUMPRODUCT(POWER(1+'DCF - FCFF'!$D$27,{1,2,3,4,5})/POWER(1+$A78,{1,2,3,4,5}))+'DCF - FCFF'!$B$27*POWER(1+'DCF - FCFF'!$D$27,5)*(1+E$77)/($A78-E$77)/POWER(1+$A78,5)-'DCF - FCFF'!$O$27)/'DCF - FCFF'!$Q$27)</f>
        <v/>
      </c>
      <c r="F78" s="13">
        <f>IF($A78-F$77&lt;0.01,NA(),('DCF - FCFF'!$B$27*SUMPRODUCT(POWER(1+'DCF - FCFF'!$D$27,{1,2,3,4,5})/POWER(1+$A78,{1,2,3,4,5}))+'DCF - FCFF'!$B$27*POWER(1+'DCF - FCFF'!$D$27,5)*(1+F$77)/($A78-F$77)/POWER(1+$A78,5)-'DCF - FCFF'!$O$27)/'DCF - FCFF'!$Q$27)</f>
        <v/>
      </c>
      <c r="G78" s="13">
        <f>IF($A78-G$77&lt;0.01,NA(),('DCF - FCFF'!$B$27*SUMPRODUCT(POWER(1+'DCF - FCFF'!$D$27,{1,2,3,4,5})/POWER(1+$A78,{1,2,3,4,5}))+'DCF - FCFF'!$B$27*POWER(1+'DCF - FCFF'!$D$27,5)*(1+G$77)/($A78-G$77)/POWER(1+$A78,5)-'DCF - FCFF'!$O$27)/'DCF - FCFF'!$Q$27)</f>
        <v/>
      </c>
      <c r="H78" s="13">
        <f>IF($A78-H$77&lt;0.01,NA(),('DCF - FCFF'!$B$27*SUMPRODUCT(POWER(1+'DCF - FCFF'!$D$27,{1,2,3,4,5})/POWER(1+$A78,{1,2,3,4,5}))+'DCF - FCFF'!$B$27*POWER(1+'DCF - FCFF'!$D$27,5)*(1+H$77)/($A78-H$77)/POWER(1+$A78,5)-'DCF - FCFF'!$O$27)/'DCF - FCFF'!$Q$27)</f>
        <v/>
      </c>
      <c r="I78" s="13">
        <f>IF($A78-I$77&lt;0.01,NA(),('DCF - FCFF'!$B$27*SUMPRODUCT(POWER(1+'DCF - FCFF'!$D$27,{1,2,3,4,5})/POWER(1+$A78,{1,2,3,4,5}))+'DCF - FCFF'!$B$27*POWER(1+'DCF - FCFF'!$D$27,5)*(1+I$77)/($A78-I$77)/POWER(1+$A78,5)-'DCF - FCFF'!$O$27)/'DCF - FCFF'!$Q$27)</f>
        <v/>
      </c>
      <c r="J78" s="13">
        <f>IF($A78-J$77&lt;0.01,NA(),('DCF - FCFF'!$B$27*SUMPRODUCT(POWER(1+'DCF - FCFF'!$D$27,{1,2,3,4,5})/POWER(1+$A78,{1,2,3,4,5}))+'DCF - FCFF'!$B$27*POWER(1+'DCF - FCFF'!$D$27,5)*(1+J$77)/($A78-J$77)/POWER(1+$A78,5)-'DCF - FCFF'!$O$27)/'DCF - FCFF'!$Q$27)</f>
        <v/>
      </c>
    </row>
    <row r="79">
      <c r="A79" s="25">
        <f>'DCF - FCFF'!$E$27-0.015</f>
        <v/>
      </c>
      <c r="B79" s="13">
        <f>IF($A79-B$77&lt;0.01,NA(),('DCF - FCFF'!$B$27*SUMPRODUCT(POWER(1+'DCF - FCFF'!$D$27,{1,2,3,4,5})/POWER(1+$A79,{1,2,3,4,5}))+'DCF - FCFF'!$B$27*POWER(1+'DCF - FCFF'!$D$27,5)*(1+B$77)/($A79-B$77)/POWER(1+$A79,5)-'DCF - FCFF'!$O$27)/'DCF - FCFF'!$Q$27)</f>
        <v/>
      </c>
      <c r="C79" s="13">
        <f>IF($A79-C$77&lt;0.01,NA(),('DCF - FCFF'!$B$27*SUMPRODUCT(POWER(1+'DCF - FCFF'!$D$27,{1,2,3,4,5})/POWER(1+$A79,{1,2,3,4,5}))+'DCF - FCFF'!$B$27*POWER(1+'DCF - FCFF'!$D$27,5)*(1+C$77)/($A79-C$77)/POWER(1+$A79,5)-'DCF - FCFF'!$O$27)/'DCF - FCFF'!$Q$27)</f>
        <v/>
      </c>
      <c r="D79" s="13">
        <f>IF($A79-D$77&lt;0.01,NA(),('DCF - FCFF'!$B$27*SUMPRODUCT(POWER(1+'DCF - FCFF'!$D$27,{1,2,3,4,5})/POWER(1+$A79,{1,2,3,4,5}))+'DCF - FCFF'!$B$27*POWER(1+'DCF - FCFF'!$D$27,5)*(1+D$77)/($A79-D$77)/POWER(1+$A79,5)-'DCF - FCFF'!$O$27)/'DCF - FCFF'!$Q$27)</f>
        <v/>
      </c>
      <c r="E79" s="13">
        <f>IF($A79-E$77&lt;0.01,NA(),('DCF - FCFF'!$B$27*SUMPRODUCT(POWER(1+'DCF - FCFF'!$D$27,{1,2,3,4,5})/POWER(1+$A79,{1,2,3,4,5}))+'DCF - FCFF'!$B$27*POWER(1+'DCF - FCFF'!$D$27,5)*(1+E$77)/($A79-E$77)/POWER(1+$A79,5)-'DCF - FCFF'!$O$27)/'DCF - FCFF'!$Q$27)</f>
        <v/>
      </c>
      <c r="F79" s="13">
        <f>IF($A79-F$77&lt;0.01,NA(),('DCF - FCFF'!$B$27*SUMPRODUCT(POWER(1+'DCF - FCFF'!$D$27,{1,2,3,4,5})/POWER(1+$A79,{1,2,3,4,5}))+'DCF - FCFF'!$B$27*POWER(1+'DCF - FCFF'!$D$27,5)*(1+F$77)/($A79-F$77)/POWER(1+$A79,5)-'DCF - FCFF'!$O$27)/'DCF - FCFF'!$Q$27)</f>
        <v/>
      </c>
      <c r="G79" s="13">
        <f>IF($A79-G$77&lt;0.01,NA(),('DCF - FCFF'!$B$27*SUMPRODUCT(POWER(1+'DCF - FCFF'!$D$27,{1,2,3,4,5})/POWER(1+$A79,{1,2,3,4,5}))+'DCF - FCFF'!$B$27*POWER(1+'DCF - FCFF'!$D$27,5)*(1+G$77)/($A79-G$77)/POWER(1+$A79,5)-'DCF - FCFF'!$O$27)/'DCF - FCFF'!$Q$27)</f>
        <v/>
      </c>
      <c r="H79" s="13">
        <f>IF($A79-H$77&lt;0.01,NA(),('DCF - FCFF'!$B$27*SUMPRODUCT(POWER(1+'DCF - FCFF'!$D$27,{1,2,3,4,5})/POWER(1+$A79,{1,2,3,4,5}))+'DCF - FCFF'!$B$27*POWER(1+'DCF - FCFF'!$D$27,5)*(1+H$77)/($A79-H$77)/POWER(1+$A79,5)-'DCF - FCFF'!$O$27)/'DCF - FCFF'!$Q$27)</f>
        <v/>
      </c>
      <c r="I79" s="13">
        <f>IF($A79-I$77&lt;0.01,NA(),('DCF - FCFF'!$B$27*SUMPRODUCT(POWER(1+'DCF - FCFF'!$D$27,{1,2,3,4,5})/POWER(1+$A79,{1,2,3,4,5}))+'DCF - FCFF'!$B$27*POWER(1+'DCF - FCFF'!$D$27,5)*(1+I$77)/($A79-I$77)/POWER(1+$A79,5)-'DCF - FCFF'!$O$27)/'DCF - FCFF'!$Q$27)</f>
        <v/>
      </c>
      <c r="J79" s="13">
        <f>IF($A79-J$77&lt;0.01,NA(),('DCF - FCFF'!$B$27*SUMPRODUCT(POWER(1+'DCF - FCFF'!$D$27,{1,2,3,4,5})/POWER(1+$A79,{1,2,3,4,5}))+'DCF - FCFF'!$B$27*POWER(1+'DCF - FCFF'!$D$27,5)*(1+J$77)/($A79-J$77)/POWER(1+$A79,5)-'DCF - FCFF'!$O$27)/'DCF - FCFF'!$Q$27)</f>
        <v/>
      </c>
    </row>
    <row r="80">
      <c r="A80" s="25">
        <f>'DCF - FCFF'!$E$27-0.01</f>
        <v/>
      </c>
      <c r="B80" s="13">
        <f>IF($A80-B$77&lt;0.01,NA(),('DCF - FCFF'!$B$27*SUMPRODUCT(POWER(1+'DCF - FCFF'!$D$27,{1,2,3,4,5})/POWER(1+$A80,{1,2,3,4,5}))+'DCF - FCFF'!$B$27*POWER(1+'DCF - FCFF'!$D$27,5)*(1+B$77)/($A80-B$77)/POWER(1+$A80,5)-'DCF - FCFF'!$O$27)/'DCF - FCFF'!$Q$27)</f>
        <v/>
      </c>
      <c r="C80" s="13">
        <f>IF($A80-C$77&lt;0.01,NA(),('DCF - FCFF'!$B$27*SUMPRODUCT(POWER(1+'DCF - FCFF'!$D$27,{1,2,3,4,5})/POWER(1+$A80,{1,2,3,4,5}))+'DCF - FCFF'!$B$27*POWER(1+'DCF - FCFF'!$D$27,5)*(1+C$77)/($A80-C$77)/POWER(1+$A80,5)-'DCF - FCFF'!$O$27)/'DCF - FCFF'!$Q$27)</f>
        <v/>
      </c>
      <c r="D80" s="13">
        <f>IF($A80-D$77&lt;0.01,NA(),('DCF - FCFF'!$B$27*SUMPRODUCT(POWER(1+'DCF - FCFF'!$D$27,{1,2,3,4,5})/POWER(1+$A80,{1,2,3,4,5}))+'DCF - FCFF'!$B$27*POWER(1+'DCF - FCFF'!$D$27,5)*(1+D$77)/($A80-D$77)/POWER(1+$A80,5)-'DCF - FCFF'!$O$27)/'DCF - FCFF'!$Q$27)</f>
        <v/>
      </c>
      <c r="E80" s="13">
        <f>IF($A80-E$77&lt;0.01,NA(),('DCF - FCFF'!$B$27*SUMPRODUCT(POWER(1+'DCF - FCFF'!$D$27,{1,2,3,4,5})/POWER(1+$A80,{1,2,3,4,5}))+'DCF - FCFF'!$B$27*POWER(1+'DCF - FCFF'!$D$27,5)*(1+E$77)/($A80-E$77)/POWER(1+$A80,5)-'DCF - FCFF'!$O$27)/'DCF - FCFF'!$Q$27)</f>
        <v/>
      </c>
      <c r="F80" s="13">
        <f>IF($A80-F$77&lt;0.01,NA(),('DCF - FCFF'!$B$27*SUMPRODUCT(POWER(1+'DCF - FCFF'!$D$27,{1,2,3,4,5})/POWER(1+$A80,{1,2,3,4,5}))+'DCF - FCFF'!$B$27*POWER(1+'DCF - FCFF'!$D$27,5)*(1+F$77)/($A80-F$77)/POWER(1+$A80,5)-'DCF - FCFF'!$O$27)/'DCF - FCFF'!$Q$27)</f>
        <v/>
      </c>
      <c r="G80" s="13">
        <f>IF($A80-G$77&lt;0.01,NA(),('DCF - FCFF'!$B$27*SUMPRODUCT(POWER(1+'DCF - FCFF'!$D$27,{1,2,3,4,5})/POWER(1+$A80,{1,2,3,4,5}))+'DCF - FCFF'!$B$27*POWER(1+'DCF - FCFF'!$D$27,5)*(1+G$77)/($A80-G$77)/POWER(1+$A80,5)-'DCF - FCFF'!$O$27)/'DCF - FCFF'!$Q$27)</f>
        <v/>
      </c>
      <c r="H80" s="13">
        <f>IF($A80-H$77&lt;0.01,NA(),('DCF - FCFF'!$B$27*SUMPRODUCT(POWER(1+'DCF - FCFF'!$D$27,{1,2,3,4,5})/POWER(1+$A80,{1,2,3,4,5}))+'DCF - FCFF'!$B$27*POWER(1+'DCF - FCFF'!$D$27,5)*(1+H$77)/($A80-H$77)/POWER(1+$A80,5)-'DCF - FCFF'!$O$27)/'DCF - FCFF'!$Q$27)</f>
        <v/>
      </c>
      <c r="I80" s="13">
        <f>IF($A80-I$77&lt;0.01,NA(),('DCF - FCFF'!$B$27*SUMPRODUCT(POWER(1+'DCF - FCFF'!$D$27,{1,2,3,4,5})/POWER(1+$A80,{1,2,3,4,5}))+'DCF - FCFF'!$B$27*POWER(1+'DCF - FCFF'!$D$27,5)*(1+I$77)/($A80-I$77)/POWER(1+$A80,5)-'DCF - FCFF'!$O$27)/'DCF - FCFF'!$Q$27)</f>
        <v/>
      </c>
      <c r="J80" s="13">
        <f>IF($A80-J$77&lt;0.01,NA(),('DCF - FCFF'!$B$27*SUMPRODUCT(POWER(1+'DCF - FCFF'!$D$27,{1,2,3,4,5})/POWER(1+$A80,{1,2,3,4,5}))+'DCF - FCFF'!$B$27*POWER(1+'DCF - FCFF'!$D$27,5)*(1+J$77)/($A80-J$77)/POWER(1+$A80,5)-'DCF - FCFF'!$O$27)/'DCF - FCFF'!$Q$27)</f>
        <v/>
      </c>
    </row>
    <row r="81">
      <c r="A81" s="25">
        <f>'DCF - FCFF'!$E$27-0.005</f>
        <v/>
      </c>
      <c r="B81" s="13">
        <f>IF($A81-B$77&lt;0.01,NA(),('DCF - FCFF'!$B$27*SUMPRODUCT(POWER(1+'DCF - FCFF'!$D$27,{1,2,3,4,5})/POWER(1+$A81,{1,2,3,4,5}))+'DCF - FCFF'!$B$27*POWER(1+'DCF - FCFF'!$D$27,5)*(1+B$77)/($A81-B$77)/POWER(1+$A81,5)-'DCF - FCFF'!$O$27)/'DCF - FCFF'!$Q$27)</f>
        <v/>
      </c>
      <c r="C81" s="13">
        <f>IF($A81-C$77&lt;0.01,NA(),('DCF - FCFF'!$B$27*SUMPRODUCT(POWER(1+'DCF - FCFF'!$D$27,{1,2,3,4,5})/POWER(1+$A81,{1,2,3,4,5}))+'DCF - FCFF'!$B$27*POWER(1+'DCF - FCFF'!$D$27,5)*(1+C$77)/($A81-C$77)/POWER(1+$A81,5)-'DCF - FCFF'!$O$27)/'DCF - FCFF'!$Q$27)</f>
        <v/>
      </c>
      <c r="D81" s="13">
        <f>IF($A81-D$77&lt;0.01,NA(),('DCF - FCFF'!$B$27*SUMPRODUCT(POWER(1+'DCF - FCFF'!$D$27,{1,2,3,4,5})/POWER(1+$A81,{1,2,3,4,5}))+'DCF - FCFF'!$B$27*POWER(1+'DCF - FCFF'!$D$27,5)*(1+D$77)/($A81-D$77)/POWER(1+$A81,5)-'DCF - FCFF'!$O$27)/'DCF - FCFF'!$Q$27)</f>
        <v/>
      </c>
      <c r="E81" s="13">
        <f>IF($A81-E$77&lt;0.01,NA(),('DCF - FCFF'!$B$27*SUMPRODUCT(POWER(1+'DCF - FCFF'!$D$27,{1,2,3,4,5})/POWER(1+$A81,{1,2,3,4,5}))+'DCF - FCFF'!$B$27*POWER(1+'DCF - FCFF'!$D$27,5)*(1+E$77)/($A81-E$77)/POWER(1+$A81,5)-'DCF - FCFF'!$O$27)/'DCF - FCFF'!$Q$27)</f>
        <v/>
      </c>
      <c r="F81" s="13">
        <f>IF($A81-F$77&lt;0.01,NA(),('DCF - FCFF'!$B$27*SUMPRODUCT(POWER(1+'DCF - FCFF'!$D$27,{1,2,3,4,5})/POWER(1+$A81,{1,2,3,4,5}))+'DCF - FCFF'!$B$27*POWER(1+'DCF - FCFF'!$D$27,5)*(1+F$77)/($A81-F$77)/POWER(1+$A81,5)-'DCF - FCFF'!$O$27)/'DCF - FCFF'!$Q$27)</f>
        <v/>
      </c>
      <c r="G81" s="13">
        <f>IF($A81-G$77&lt;0.01,NA(),('DCF - FCFF'!$B$27*SUMPRODUCT(POWER(1+'DCF - FCFF'!$D$27,{1,2,3,4,5})/POWER(1+$A81,{1,2,3,4,5}))+'DCF - FCFF'!$B$27*POWER(1+'DCF - FCFF'!$D$27,5)*(1+G$77)/($A81-G$77)/POWER(1+$A81,5)-'DCF - FCFF'!$O$27)/'DCF - FCFF'!$Q$27)</f>
        <v/>
      </c>
      <c r="H81" s="13">
        <f>IF($A81-H$77&lt;0.01,NA(),('DCF - FCFF'!$B$27*SUMPRODUCT(POWER(1+'DCF - FCFF'!$D$27,{1,2,3,4,5})/POWER(1+$A81,{1,2,3,4,5}))+'DCF - FCFF'!$B$27*POWER(1+'DCF - FCFF'!$D$27,5)*(1+H$77)/($A81-H$77)/POWER(1+$A81,5)-'DCF - FCFF'!$O$27)/'DCF - FCFF'!$Q$27)</f>
        <v/>
      </c>
      <c r="I81" s="13">
        <f>IF($A81-I$77&lt;0.01,NA(),('DCF - FCFF'!$B$27*SUMPRODUCT(POWER(1+'DCF - FCFF'!$D$27,{1,2,3,4,5})/POWER(1+$A81,{1,2,3,4,5}))+'DCF - FCFF'!$B$27*POWER(1+'DCF - FCFF'!$D$27,5)*(1+I$77)/($A81-I$77)/POWER(1+$A81,5)-'DCF - FCFF'!$O$27)/'DCF - FCFF'!$Q$27)</f>
        <v/>
      </c>
      <c r="J81" s="13">
        <f>IF($A81-J$77&lt;0.01,NA(),('DCF - FCFF'!$B$27*SUMPRODUCT(POWER(1+'DCF - FCFF'!$D$27,{1,2,3,4,5})/POWER(1+$A81,{1,2,3,4,5}))+'DCF - FCFF'!$B$27*POWER(1+'DCF - FCFF'!$D$27,5)*(1+J$77)/($A81-J$77)/POWER(1+$A81,5)-'DCF - FCFF'!$O$27)/'DCF - FCFF'!$Q$27)</f>
        <v/>
      </c>
    </row>
    <row r="82">
      <c r="A82" s="25">
        <f>'DCF - FCFF'!$E$27+0.0</f>
        <v/>
      </c>
      <c r="B82" s="13">
        <f>IF($A82-B$77&lt;0.01,NA(),('DCF - FCFF'!$B$27*SUMPRODUCT(POWER(1+'DCF - FCFF'!$D$27,{1,2,3,4,5})/POWER(1+$A82,{1,2,3,4,5}))+'DCF - FCFF'!$B$27*POWER(1+'DCF - FCFF'!$D$27,5)*(1+B$77)/($A82-B$77)/POWER(1+$A82,5)-'DCF - FCFF'!$O$27)/'DCF - FCFF'!$Q$27)</f>
        <v/>
      </c>
      <c r="C82" s="13">
        <f>IF($A82-C$77&lt;0.01,NA(),('DCF - FCFF'!$B$27*SUMPRODUCT(POWER(1+'DCF - FCFF'!$D$27,{1,2,3,4,5})/POWER(1+$A82,{1,2,3,4,5}))+'DCF - FCFF'!$B$27*POWER(1+'DCF - FCFF'!$D$27,5)*(1+C$77)/($A82-C$77)/POWER(1+$A82,5)-'DCF - FCFF'!$O$27)/'DCF - FCFF'!$Q$27)</f>
        <v/>
      </c>
      <c r="D82" s="13">
        <f>IF($A82-D$77&lt;0.01,NA(),('DCF - FCFF'!$B$27*SUMPRODUCT(POWER(1+'DCF - FCFF'!$D$27,{1,2,3,4,5})/POWER(1+$A82,{1,2,3,4,5}))+'DCF - FCFF'!$B$27*POWER(1+'DCF - FCFF'!$D$27,5)*(1+D$77)/($A82-D$77)/POWER(1+$A82,5)-'DCF - FCFF'!$O$27)/'DCF - FCFF'!$Q$27)</f>
        <v/>
      </c>
      <c r="E82" s="13">
        <f>IF($A82-E$77&lt;0.01,NA(),('DCF - FCFF'!$B$27*SUMPRODUCT(POWER(1+'DCF - FCFF'!$D$27,{1,2,3,4,5})/POWER(1+$A82,{1,2,3,4,5}))+'DCF - FCFF'!$B$27*POWER(1+'DCF - FCFF'!$D$27,5)*(1+E$77)/($A82-E$77)/POWER(1+$A82,5)-'DCF - FCFF'!$O$27)/'DCF - FCFF'!$Q$27)</f>
        <v/>
      </c>
      <c r="F82" s="13">
        <f>IF($A82-F$77&lt;0.01,NA(),('DCF - FCFF'!$B$27*SUMPRODUCT(POWER(1+'DCF - FCFF'!$D$27,{1,2,3,4,5})/POWER(1+$A82,{1,2,3,4,5}))+'DCF - FCFF'!$B$27*POWER(1+'DCF - FCFF'!$D$27,5)*(1+F$77)/($A82-F$77)/POWER(1+$A82,5)-'DCF - FCFF'!$O$27)/'DCF - FCFF'!$Q$27)</f>
        <v/>
      </c>
      <c r="G82" s="13">
        <f>IF($A82-G$77&lt;0.01,NA(),('DCF - FCFF'!$B$27*SUMPRODUCT(POWER(1+'DCF - FCFF'!$D$27,{1,2,3,4,5})/POWER(1+$A82,{1,2,3,4,5}))+'DCF - FCFF'!$B$27*POWER(1+'DCF - FCFF'!$D$27,5)*(1+G$77)/($A82-G$77)/POWER(1+$A82,5)-'DCF - FCFF'!$O$27)/'DCF - FCFF'!$Q$27)</f>
        <v/>
      </c>
      <c r="H82" s="34">
        <f>IF($A82-H$77&lt;0.01,NA(),('DCF - FCFF'!$B$27*SUMPRODUCT(POWER(1+'DCF - FCFF'!$D$27,{1,2,3,4,5})/POWER(1+$A82,{1,2,3,4,5}))+'DCF - FCFF'!$B$27*POWER(1+'DCF - FCFF'!$D$27,5)*(1+H$77)/($A82-H$77)/POWER(1+$A82,5)-'DCF - FCFF'!$O$27)/'DCF - FCFF'!$Q$27)</f>
        <v/>
      </c>
      <c r="I82" s="13">
        <f>IF($A82-I$77&lt;0.01,NA(),('DCF - FCFF'!$B$27*SUMPRODUCT(POWER(1+'DCF - FCFF'!$D$27,{1,2,3,4,5})/POWER(1+$A82,{1,2,3,4,5}))+'DCF - FCFF'!$B$27*POWER(1+'DCF - FCFF'!$D$27,5)*(1+I$77)/($A82-I$77)/POWER(1+$A82,5)-'DCF - FCFF'!$O$27)/'DCF - FCFF'!$Q$27)</f>
        <v/>
      </c>
      <c r="J82" s="13">
        <f>IF($A82-J$77&lt;0.01,NA(),('DCF - FCFF'!$B$27*SUMPRODUCT(POWER(1+'DCF - FCFF'!$D$27,{1,2,3,4,5})/POWER(1+$A82,{1,2,3,4,5}))+'DCF - FCFF'!$B$27*POWER(1+'DCF - FCFF'!$D$27,5)*(1+J$77)/($A82-J$77)/POWER(1+$A82,5)-'DCF - FCFF'!$O$27)/'DCF - FCFF'!$Q$27)</f>
        <v/>
      </c>
    </row>
    <row r="83">
      <c r="A83" s="25">
        <f>'DCF - FCFF'!$E$27+0.005</f>
        <v/>
      </c>
      <c r="B83" s="13">
        <f>IF($A83-B$77&lt;0.01,NA(),('DCF - FCFF'!$B$27*SUMPRODUCT(POWER(1+'DCF - FCFF'!$D$27,{1,2,3,4,5})/POWER(1+$A83,{1,2,3,4,5}))+'DCF - FCFF'!$B$27*POWER(1+'DCF - FCFF'!$D$27,5)*(1+B$77)/($A83-B$77)/POWER(1+$A83,5)-'DCF - FCFF'!$O$27)/'DCF - FCFF'!$Q$27)</f>
        <v/>
      </c>
      <c r="C83" s="13">
        <f>IF($A83-C$77&lt;0.01,NA(),('DCF - FCFF'!$B$27*SUMPRODUCT(POWER(1+'DCF - FCFF'!$D$27,{1,2,3,4,5})/POWER(1+$A83,{1,2,3,4,5}))+'DCF - FCFF'!$B$27*POWER(1+'DCF - FCFF'!$D$27,5)*(1+C$77)/($A83-C$77)/POWER(1+$A83,5)-'DCF - FCFF'!$O$27)/'DCF - FCFF'!$Q$27)</f>
        <v/>
      </c>
      <c r="D83" s="13">
        <f>IF($A83-D$77&lt;0.01,NA(),('DCF - FCFF'!$B$27*SUMPRODUCT(POWER(1+'DCF - FCFF'!$D$27,{1,2,3,4,5})/POWER(1+$A83,{1,2,3,4,5}))+'DCF - FCFF'!$B$27*POWER(1+'DCF - FCFF'!$D$27,5)*(1+D$77)/($A83-D$77)/POWER(1+$A83,5)-'DCF - FCFF'!$O$27)/'DCF - FCFF'!$Q$27)</f>
        <v/>
      </c>
      <c r="E83" s="13">
        <f>IF($A83-E$77&lt;0.01,NA(),('DCF - FCFF'!$B$27*SUMPRODUCT(POWER(1+'DCF - FCFF'!$D$27,{1,2,3,4,5})/POWER(1+$A83,{1,2,3,4,5}))+'DCF - FCFF'!$B$27*POWER(1+'DCF - FCFF'!$D$27,5)*(1+E$77)/($A83-E$77)/POWER(1+$A83,5)-'DCF - FCFF'!$O$27)/'DCF - FCFF'!$Q$27)</f>
        <v/>
      </c>
      <c r="F83" s="13">
        <f>IF($A83-F$77&lt;0.01,NA(),('DCF - FCFF'!$B$27*SUMPRODUCT(POWER(1+'DCF - FCFF'!$D$27,{1,2,3,4,5})/POWER(1+$A83,{1,2,3,4,5}))+'DCF - FCFF'!$B$27*POWER(1+'DCF - FCFF'!$D$27,5)*(1+F$77)/($A83-F$77)/POWER(1+$A83,5)-'DCF - FCFF'!$O$27)/'DCF - FCFF'!$Q$27)</f>
        <v/>
      </c>
      <c r="G83" s="13">
        <f>IF($A83-G$77&lt;0.01,NA(),('DCF - FCFF'!$B$27*SUMPRODUCT(POWER(1+'DCF - FCFF'!$D$27,{1,2,3,4,5})/POWER(1+$A83,{1,2,3,4,5}))+'DCF - FCFF'!$B$27*POWER(1+'DCF - FCFF'!$D$27,5)*(1+G$77)/($A83-G$77)/POWER(1+$A83,5)-'DCF - FCFF'!$O$27)/'DCF - FCFF'!$Q$27)</f>
        <v/>
      </c>
      <c r="H83" s="13">
        <f>IF($A83-H$77&lt;0.01,NA(),('DCF - FCFF'!$B$27*SUMPRODUCT(POWER(1+'DCF - FCFF'!$D$27,{1,2,3,4,5})/POWER(1+$A83,{1,2,3,4,5}))+'DCF - FCFF'!$B$27*POWER(1+'DCF - FCFF'!$D$27,5)*(1+H$77)/($A83-H$77)/POWER(1+$A83,5)-'DCF - FCFF'!$O$27)/'DCF - FCFF'!$Q$27)</f>
        <v/>
      </c>
      <c r="I83" s="13">
        <f>IF($A83-I$77&lt;0.01,NA(),('DCF - FCFF'!$B$27*SUMPRODUCT(POWER(1+'DCF - FCFF'!$D$27,{1,2,3,4,5})/POWER(1+$A83,{1,2,3,4,5}))+'DCF - FCFF'!$B$27*POWER(1+'DCF - FCFF'!$D$27,5)*(1+I$77)/($A83-I$77)/POWER(1+$A83,5)-'DCF - FCFF'!$O$27)/'DCF - FCFF'!$Q$27)</f>
        <v/>
      </c>
      <c r="J83" s="13">
        <f>IF($A83-J$77&lt;0.01,NA(),('DCF - FCFF'!$B$27*SUMPRODUCT(POWER(1+'DCF - FCFF'!$D$27,{1,2,3,4,5})/POWER(1+$A83,{1,2,3,4,5}))+'DCF - FCFF'!$B$27*POWER(1+'DCF - FCFF'!$D$27,5)*(1+J$77)/($A83-J$77)/POWER(1+$A83,5)-'DCF - FCFF'!$O$27)/'DCF - FCFF'!$Q$27)</f>
        <v/>
      </c>
    </row>
    <row r="84">
      <c r="A84" s="25">
        <f>'DCF - FCFF'!$E$27+0.01</f>
        <v/>
      </c>
      <c r="B84" s="13">
        <f>IF($A84-B$77&lt;0.01,NA(),('DCF - FCFF'!$B$27*SUMPRODUCT(POWER(1+'DCF - FCFF'!$D$27,{1,2,3,4,5})/POWER(1+$A84,{1,2,3,4,5}))+'DCF - FCFF'!$B$27*POWER(1+'DCF - FCFF'!$D$27,5)*(1+B$77)/($A84-B$77)/POWER(1+$A84,5)-'DCF - FCFF'!$O$27)/'DCF - FCFF'!$Q$27)</f>
        <v/>
      </c>
      <c r="C84" s="13">
        <f>IF($A84-C$77&lt;0.01,NA(),('DCF - FCFF'!$B$27*SUMPRODUCT(POWER(1+'DCF - FCFF'!$D$27,{1,2,3,4,5})/POWER(1+$A84,{1,2,3,4,5}))+'DCF - FCFF'!$B$27*POWER(1+'DCF - FCFF'!$D$27,5)*(1+C$77)/($A84-C$77)/POWER(1+$A84,5)-'DCF - FCFF'!$O$27)/'DCF - FCFF'!$Q$27)</f>
        <v/>
      </c>
      <c r="D84" s="13">
        <f>IF($A84-D$77&lt;0.01,NA(),('DCF - FCFF'!$B$27*SUMPRODUCT(POWER(1+'DCF - FCFF'!$D$27,{1,2,3,4,5})/POWER(1+$A84,{1,2,3,4,5}))+'DCF - FCFF'!$B$27*POWER(1+'DCF - FCFF'!$D$27,5)*(1+D$77)/($A84-D$77)/POWER(1+$A84,5)-'DCF - FCFF'!$O$27)/'DCF - FCFF'!$Q$27)</f>
        <v/>
      </c>
      <c r="E84" s="13">
        <f>IF($A84-E$77&lt;0.01,NA(),('DCF - FCFF'!$B$27*SUMPRODUCT(POWER(1+'DCF - FCFF'!$D$27,{1,2,3,4,5})/POWER(1+$A84,{1,2,3,4,5}))+'DCF - FCFF'!$B$27*POWER(1+'DCF - FCFF'!$D$27,5)*(1+E$77)/($A84-E$77)/POWER(1+$A84,5)-'DCF - FCFF'!$O$27)/'DCF - FCFF'!$Q$27)</f>
        <v/>
      </c>
      <c r="F84" s="13">
        <f>IF($A84-F$77&lt;0.01,NA(),('DCF - FCFF'!$B$27*SUMPRODUCT(POWER(1+'DCF - FCFF'!$D$27,{1,2,3,4,5})/POWER(1+$A84,{1,2,3,4,5}))+'DCF - FCFF'!$B$27*POWER(1+'DCF - FCFF'!$D$27,5)*(1+F$77)/($A84-F$77)/POWER(1+$A84,5)-'DCF - FCFF'!$O$27)/'DCF - FCFF'!$Q$27)</f>
        <v/>
      </c>
      <c r="G84" s="13">
        <f>IF($A84-G$77&lt;0.01,NA(),('DCF - FCFF'!$B$27*SUMPRODUCT(POWER(1+'DCF - FCFF'!$D$27,{1,2,3,4,5})/POWER(1+$A84,{1,2,3,4,5}))+'DCF - FCFF'!$B$27*POWER(1+'DCF - FCFF'!$D$27,5)*(1+G$77)/($A84-G$77)/POWER(1+$A84,5)-'DCF - FCFF'!$O$27)/'DCF - FCFF'!$Q$27)</f>
        <v/>
      </c>
      <c r="H84" s="13">
        <f>IF($A84-H$77&lt;0.01,NA(),('DCF - FCFF'!$B$27*SUMPRODUCT(POWER(1+'DCF - FCFF'!$D$27,{1,2,3,4,5})/POWER(1+$A84,{1,2,3,4,5}))+'DCF - FCFF'!$B$27*POWER(1+'DCF - FCFF'!$D$27,5)*(1+H$77)/($A84-H$77)/POWER(1+$A84,5)-'DCF - FCFF'!$O$27)/'DCF - FCFF'!$Q$27)</f>
        <v/>
      </c>
      <c r="I84" s="13">
        <f>IF($A84-I$77&lt;0.01,NA(),('DCF - FCFF'!$B$27*SUMPRODUCT(POWER(1+'DCF - FCFF'!$D$27,{1,2,3,4,5})/POWER(1+$A84,{1,2,3,4,5}))+'DCF - FCFF'!$B$27*POWER(1+'DCF - FCFF'!$D$27,5)*(1+I$77)/($A84-I$77)/POWER(1+$A84,5)-'DCF - FCFF'!$O$27)/'DCF - FCFF'!$Q$27)</f>
        <v/>
      </c>
      <c r="J84" s="13">
        <f>IF($A84-J$77&lt;0.01,NA(),('DCF - FCFF'!$B$27*SUMPRODUCT(POWER(1+'DCF - FCFF'!$D$27,{1,2,3,4,5})/POWER(1+$A84,{1,2,3,4,5}))+'DCF - FCFF'!$B$27*POWER(1+'DCF - FCFF'!$D$27,5)*(1+J$77)/($A84-J$77)/POWER(1+$A84,5)-'DCF - FCFF'!$O$27)/'DCF - FCFF'!$Q$27)</f>
        <v/>
      </c>
    </row>
    <row r="85">
      <c r="A85" s="25">
        <f>'DCF - FCFF'!$E$27+0.015</f>
        <v/>
      </c>
      <c r="B85" s="13">
        <f>IF($A85-B$77&lt;0.01,NA(),('DCF - FCFF'!$B$27*SUMPRODUCT(POWER(1+'DCF - FCFF'!$D$27,{1,2,3,4,5})/POWER(1+$A85,{1,2,3,4,5}))+'DCF - FCFF'!$B$27*POWER(1+'DCF - FCFF'!$D$27,5)*(1+B$77)/($A85-B$77)/POWER(1+$A85,5)-'DCF - FCFF'!$O$27)/'DCF - FCFF'!$Q$27)</f>
        <v/>
      </c>
      <c r="C85" s="13">
        <f>IF($A85-C$77&lt;0.01,NA(),('DCF - FCFF'!$B$27*SUMPRODUCT(POWER(1+'DCF - FCFF'!$D$27,{1,2,3,4,5})/POWER(1+$A85,{1,2,3,4,5}))+'DCF - FCFF'!$B$27*POWER(1+'DCF - FCFF'!$D$27,5)*(1+C$77)/($A85-C$77)/POWER(1+$A85,5)-'DCF - FCFF'!$O$27)/'DCF - FCFF'!$Q$27)</f>
        <v/>
      </c>
      <c r="D85" s="13">
        <f>IF($A85-D$77&lt;0.01,NA(),('DCF - FCFF'!$B$27*SUMPRODUCT(POWER(1+'DCF - FCFF'!$D$27,{1,2,3,4,5})/POWER(1+$A85,{1,2,3,4,5}))+'DCF - FCFF'!$B$27*POWER(1+'DCF - FCFF'!$D$27,5)*(1+D$77)/($A85-D$77)/POWER(1+$A85,5)-'DCF - FCFF'!$O$27)/'DCF - FCFF'!$Q$27)</f>
        <v/>
      </c>
      <c r="E85" s="13">
        <f>IF($A85-E$77&lt;0.01,NA(),('DCF - FCFF'!$B$27*SUMPRODUCT(POWER(1+'DCF - FCFF'!$D$27,{1,2,3,4,5})/POWER(1+$A85,{1,2,3,4,5}))+'DCF - FCFF'!$B$27*POWER(1+'DCF - FCFF'!$D$27,5)*(1+E$77)/($A85-E$77)/POWER(1+$A85,5)-'DCF - FCFF'!$O$27)/'DCF - FCFF'!$Q$27)</f>
        <v/>
      </c>
      <c r="F85" s="13">
        <f>IF($A85-F$77&lt;0.01,NA(),('DCF - FCFF'!$B$27*SUMPRODUCT(POWER(1+'DCF - FCFF'!$D$27,{1,2,3,4,5})/POWER(1+$A85,{1,2,3,4,5}))+'DCF - FCFF'!$B$27*POWER(1+'DCF - FCFF'!$D$27,5)*(1+F$77)/($A85-F$77)/POWER(1+$A85,5)-'DCF - FCFF'!$O$27)/'DCF - FCFF'!$Q$27)</f>
        <v/>
      </c>
      <c r="G85" s="13">
        <f>IF($A85-G$77&lt;0.01,NA(),('DCF - FCFF'!$B$27*SUMPRODUCT(POWER(1+'DCF - FCFF'!$D$27,{1,2,3,4,5})/POWER(1+$A85,{1,2,3,4,5}))+'DCF - FCFF'!$B$27*POWER(1+'DCF - FCFF'!$D$27,5)*(1+G$77)/($A85-G$77)/POWER(1+$A85,5)-'DCF - FCFF'!$O$27)/'DCF - FCFF'!$Q$27)</f>
        <v/>
      </c>
      <c r="H85" s="13">
        <f>IF($A85-H$77&lt;0.01,NA(),('DCF - FCFF'!$B$27*SUMPRODUCT(POWER(1+'DCF - FCFF'!$D$27,{1,2,3,4,5})/POWER(1+$A85,{1,2,3,4,5}))+'DCF - FCFF'!$B$27*POWER(1+'DCF - FCFF'!$D$27,5)*(1+H$77)/($A85-H$77)/POWER(1+$A85,5)-'DCF - FCFF'!$O$27)/'DCF - FCFF'!$Q$27)</f>
        <v/>
      </c>
      <c r="I85" s="13">
        <f>IF($A85-I$77&lt;0.01,NA(),('DCF - FCFF'!$B$27*SUMPRODUCT(POWER(1+'DCF - FCFF'!$D$27,{1,2,3,4,5})/POWER(1+$A85,{1,2,3,4,5}))+'DCF - FCFF'!$B$27*POWER(1+'DCF - FCFF'!$D$27,5)*(1+I$77)/($A85-I$77)/POWER(1+$A85,5)-'DCF - FCFF'!$O$27)/'DCF - FCFF'!$Q$27)</f>
        <v/>
      </c>
      <c r="J85" s="13">
        <f>IF($A85-J$77&lt;0.01,NA(),('DCF - FCFF'!$B$27*SUMPRODUCT(POWER(1+'DCF - FCFF'!$D$27,{1,2,3,4,5})/POWER(1+$A85,{1,2,3,4,5}))+'DCF - FCFF'!$B$27*POWER(1+'DCF - FCFF'!$D$27,5)*(1+J$77)/($A85-J$77)/POWER(1+$A85,5)-'DCF - FCFF'!$O$27)/'DCF - FCFF'!$Q$27)</f>
        <v/>
      </c>
    </row>
    <row r="86">
      <c r="A86" s="25">
        <f>'DCF - FCFF'!$E$27+0.02</f>
        <v/>
      </c>
      <c r="B86" s="13">
        <f>IF($A86-B$77&lt;0.01,NA(),('DCF - FCFF'!$B$27*SUMPRODUCT(POWER(1+'DCF - FCFF'!$D$27,{1,2,3,4,5})/POWER(1+$A86,{1,2,3,4,5}))+'DCF - FCFF'!$B$27*POWER(1+'DCF - FCFF'!$D$27,5)*(1+B$77)/($A86-B$77)/POWER(1+$A86,5)-'DCF - FCFF'!$O$27)/'DCF - FCFF'!$Q$27)</f>
        <v/>
      </c>
      <c r="C86" s="13">
        <f>IF($A86-C$77&lt;0.01,NA(),('DCF - FCFF'!$B$27*SUMPRODUCT(POWER(1+'DCF - FCFF'!$D$27,{1,2,3,4,5})/POWER(1+$A86,{1,2,3,4,5}))+'DCF - FCFF'!$B$27*POWER(1+'DCF - FCFF'!$D$27,5)*(1+C$77)/($A86-C$77)/POWER(1+$A86,5)-'DCF - FCFF'!$O$27)/'DCF - FCFF'!$Q$27)</f>
        <v/>
      </c>
      <c r="D86" s="13">
        <f>IF($A86-D$77&lt;0.01,NA(),('DCF - FCFF'!$B$27*SUMPRODUCT(POWER(1+'DCF - FCFF'!$D$27,{1,2,3,4,5})/POWER(1+$A86,{1,2,3,4,5}))+'DCF - FCFF'!$B$27*POWER(1+'DCF - FCFF'!$D$27,5)*(1+D$77)/($A86-D$77)/POWER(1+$A86,5)-'DCF - FCFF'!$O$27)/'DCF - FCFF'!$Q$27)</f>
        <v/>
      </c>
      <c r="E86" s="13">
        <f>IF($A86-E$77&lt;0.01,NA(),('DCF - FCFF'!$B$27*SUMPRODUCT(POWER(1+'DCF - FCFF'!$D$27,{1,2,3,4,5})/POWER(1+$A86,{1,2,3,4,5}))+'DCF - FCFF'!$B$27*POWER(1+'DCF - FCFF'!$D$27,5)*(1+E$77)/($A86-E$77)/POWER(1+$A86,5)-'DCF - FCFF'!$O$27)/'DCF - FCFF'!$Q$27)</f>
        <v/>
      </c>
      <c r="F86" s="13">
        <f>IF($A86-F$77&lt;0.01,NA(),('DCF - FCFF'!$B$27*SUMPRODUCT(POWER(1+'DCF - FCFF'!$D$27,{1,2,3,4,5})/POWER(1+$A86,{1,2,3,4,5}))+'DCF - FCFF'!$B$27*POWER(1+'DCF - FCFF'!$D$27,5)*(1+F$77)/($A86-F$77)/POWER(1+$A86,5)-'DCF - FCFF'!$O$27)/'DCF - FCFF'!$Q$27)</f>
        <v/>
      </c>
      <c r="G86" s="13">
        <f>IF($A86-G$77&lt;0.01,NA(),('DCF - FCFF'!$B$27*SUMPRODUCT(POWER(1+'DCF - FCFF'!$D$27,{1,2,3,4,5})/POWER(1+$A86,{1,2,3,4,5}))+'DCF - FCFF'!$B$27*POWER(1+'DCF - FCFF'!$D$27,5)*(1+G$77)/($A86-G$77)/POWER(1+$A86,5)-'DCF - FCFF'!$O$27)/'DCF - FCFF'!$Q$27)</f>
        <v/>
      </c>
      <c r="H86" s="13">
        <f>IF($A86-H$77&lt;0.01,NA(),('DCF - FCFF'!$B$27*SUMPRODUCT(POWER(1+'DCF - FCFF'!$D$27,{1,2,3,4,5})/POWER(1+$A86,{1,2,3,4,5}))+'DCF - FCFF'!$B$27*POWER(1+'DCF - FCFF'!$D$27,5)*(1+H$77)/($A86-H$77)/POWER(1+$A86,5)-'DCF - FCFF'!$O$27)/'DCF - FCFF'!$Q$27)</f>
        <v/>
      </c>
      <c r="I86" s="13">
        <f>IF($A86-I$77&lt;0.01,NA(),('DCF - FCFF'!$B$27*SUMPRODUCT(POWER(1+'DCF - FCFF'!$D$27,{1,2,3,4,5})/POWER(1+$A86,{1,2,3,4,5}))+'DCF - FCFF'!$B$27*POWER(1+'DCF - FCFF'!$D$27,5)*(1+I$77)/($A86-I$77)/POWER(1+$A86,5)-'DCF - FCFF'!$O$27)/'DCF - FCFF'!$Q$27)</f>
        <v/>
      </c>
      <c r="J86" s="13">
        <f>IF($A86-J$77&lt;0.01,NA(),('DCF - FCFF'!$B$27*SUMPRODUCT(POWER(1+'DCF - FCFF'!$D$27,{1,2,3,4,5})/POWER(1+$A86,{1,2,3,4,5}))+'DCF - FCFF'!$B$27*POWER(1+'DCF - FCFF'!$D$27,5)*(1+J$77)/($A86-J$77)/POWER(1+$A86,5)-'DCF - FCFF'!$O$27)/'DCF - FCFF'!$Q$27)</f>
        <v/>
      </c>
    </row>
    <row r="88">
      <c r="A88" s="3" t="inlineStr">
        <is>
          <t>Emami</t>
        </is>
      </c>
      <c r="B88" s="13">
        <f>'Market Data'!$C$9</f>
        <v/>
      </c>
      <c r="C88" s="2" t="inlineStr">
        <is>
          <t>← market price · rows: WACC · cols: terminal g</t>
        </is>
      </c>
    </row>
    <row r="89">
      <c r="B89" s="24" t="n">
        <v>0.01</v>
      </c>
      <c r="C89" s="24" t="n">
        <v>0.015</v>
      </c>
      <c r="D89" s="24" t="n">
        <v>0.02</v>
      </c>
      <c r="E89" s="24" t="n">
        <v>0.025</v>
      </c>
      <c r="F89" s="24" t="n">
        <v>0.03</v>
      </c>
      <c r="G89" s="24" t="n">
        <v>0.035</v>
      </c>
      <c r="H89" s="24" t="n">
        <v>0.04</v>
      </c>
      <c r="I89" s="24" t="n">
        <v>0.045</v>
      </c>
      <c r="J89" s="24" t="n">
        <v>0.05</v>
      </c>
    </row>
    <row r="90">
      <c r="A90" s="25">
        <f>'DCF - FCFF'!$E$28-0.02</f>
        <v/>
      </c>
      <c r="B90" s="13">
        <f>IF($A90-B$89&lt;0.01,NA(),('DCF - FCFF'!$B$28*SUMPRODUCT(POWER(1+'DCF - FCFF'!$D$28,{1,2,3,4,5})/POWER(1+$A90,{1,2,3,4,5}))+'DCF - FCFF'!$B$28*POWER(1+'DCF - FCFF'!$D$28,5)*(1+B$89)/($A90-B$89)/POWER(1+$A90,5)-'DCF - FCFF'!$O$28)/'DCF - FCFF'!$Q$28)</f>
        <v/>
      </c>
      <c r="C90" s="13">
        <f>IF($A90-C$89&lt;0.01,NA(),('DCF - FCFF'!$B$28*SUMPRODUCT(POWER(1+'DCF - FCFF'!$D$28,{1,2,3,4,5})/POWER(1+$A90,{1,2,3,4,5}))+'DCF - FCFF'!$B$28*POWER(1+'DCF - FCFF'!$D$28,5)*(1+C$89)/($A90-C$89)/POWER(1+$A90,5)-'DCF - FCFF'!$O$28)/'DCF - FCFF'!$Q$28)</f>
        <v/>
      </c>
      <c r="D90" s="13">
        <f>IF($A90-D$89&lt;0.01,NA(),('DCF - FCFF'!$B$28*SUMPRODUCT(POWER(1+'DCF - FCFF'!$D$28,{1,2,3,4,5})/POWER(1+$A90,{1,2,3,4,5}))+'DCF - FCFF'!$B$28*POWER(1+'DCF - FCFF'!$D$28,5)*(1+D$89)/($A90-D$89)/POWER(1+$A90,5)-'DCF - FCFF'!$O$28)/'DCF - FCFF'!$Q$28)</f>
        <v/>
      </c>
      <c r="E90" s="13">
        <f>IF($A90-E$89&lt;0.01,NA(),('DCF - FCFF'!$B$28*SUMPRODUCT(POWER(1+'DCF - FCFF'!$D$28,{1,2,3,4,5})/POWER(1+$A90,{1,2,3,4,5}))+'DCF - FCFF'!$B$28*POWER(1+'DCF - FCFF'!$D$28,5)*(1+E$89)/($A90-E$89)/POWER(1+$A90,5)-'DCF - FCFF'!$O$28)/'DCF - FCFF'!$Q$28)</f>
        <v/>
      </c>
      <c r="F90" s="13">
        <f>IF($A90-F$89&lt;0.01,NA(),('DCF - FCFF'!$B$28*SUMPRODUCT(POWER(1+'DCF - FCFF'!$D$28,{1,2,3,4,5})/POWER(1+$A90,{1,2,3,4,5}))+'DCF - FCFF'!$B$28*POWER(1+'DCF - FCFF'!$D$28,5)*(1+F$89)/($A90-F$89)/POWER(1+$A90,5)-'DCF - FCFF'!$O$28)/'DCF - FCFF'!$Q$28)</f>
        <v/>
      </c>
      <c r="G90" s="13">
        <f>IF($A90-G$89&lt;0.01,NA(),('DCF - FCFF'!$B$28*SUMPRODUCT(POWER(1+'DCF - FCFF'!$D$28,{1,2,3,4,5})/POWER(1+$A90,{1,2,3,4,5}))+'DCF - FCFF'!$B$28*POWER(1+'DCF - FCFF'!$D$28,5)*(1+G$89)/($A90-G$89)/POWER(1+$A90,5)-'DCF - FCFF'!$O$28)/'DCF - FCFF'!$Q$28)</f>
        <v/>
      </c>
      <c r="H90" s="13">
        <f>IF($A90-H$89&lt;0.01,NA(),('DCF - FCFF'!$B$28*SUMPRODUCT(POWER(1+'DCF - FCFF'!$D$28,{1,2,3,4,5})/POWER(1+$A90,{1,2,3,4,5}))+'DCF - FCFF'!$B$28*POWER(1+'DCF - FCFF'!$D$28,5)*(1+H$89)/($A90-H$89)/POWER(1+$A90,5)-'DCF - FCFF'!$O$28)/'DCF - FCFF'!$Q$28)</f>
        <v/>
      </c>
      <c r="I90" s="13">
        <f>IF($A90-I$89&lt;0.01,NA(),('DCF - FCFF'!$B$28*SUMPRODUCT(POWER(1+'DCF - FCFF'!$D$28,{1,2,3,4,5})/POWER(1+$A90,{1,2,3,4,5}))+'DCF - FCFF'!$B$28*POWER(1+'DCF - FCFF'!$D$28,5)*(1+I$89)/($A90-I$89)/POWER(1+$A90,5)-'DCF - FCFF'!$O$28)/'DCF - FCFF'!$Q$28)</f>
        <v/>
      </c>
      <c r="J90" s="13">
        <f>IF($A90-J$89&lt;0.01,NA(),('DCF - FCFF'!$B$28*SUMPRODUCT(POWER(1+'DCF - FCFF'!$D$28,{1,2,3,4,5})/POWER(1+$A90,{1,2,3,4,5}))+'DCF - FCFF'!$B$28*POWER(1+'DCF - FCFF'!$D$28,5)*(1+J$89)/($A90-J$89)/POWER(1+$A90,5)-'DCF - FCFF'!$O$28)/'DCF - FCFF'!$Q$28)</f>
        <v/>
      </c>
    </row>
    <row r="91">
      <c r="A91" s="25">
        <f>'DCF - FCFF'!$E$28-0.015</f>
        <v/>
      </c>
      <c r="B91" s="13">
        <f>IF($A91-B$89&lt;0.01,NA(),('DCF - FCFF'!$B$28*SUMPRODUCT(POWER(1+'DCF - FCFF'!$D$28,{1,2,3,4,5})/POWER(1+$A91,{1,2,3,4,5}))+'DCF - FCFF'!$B$28*POWER(1+'DCF - FCFF'!$D$28,5)*(1+B$89)/($A91-B$89)/POWER(1+$A91,5)-'DCF - FCFF'!$O$28)/'DCF - FCFF'!$Q$28)</f>
        <v/>
      </c>
      <c r="C91" s="13">
        <f>IF($A91-C$89&lt;0.01,NA(),('DCF - FCFF'!$B$28*SUMPRODUCT(POWER(1+'DCF - FCFF'!$D$28,{1,2,3,4,5})/POWER(1+$A91,{1,2,3,4,5}))+'DCF - FCFF'!$B$28*POWER(1+'DCF - FCFF'!$D$28,5)*(1+C$89)/($A91-C$89)/POWER(1+$A91,5)-'DCF - FCFF'!$O$28)/'DCF - FCFF'!$Q$28)</f>
        <v/>
      </c>
      <c r="D91" s="13">
        <f>IF($A91-D$89&lt;0.01,NA(),('DCF - FCFF'!$B$28*SUMPRODUCT(POWER(1+'DCF - FCFF'!$D$28,{1,2,3,4,5})/POWER(1+$A91,{1,2,3,4,5}))+'DCF - FCFF'!$B$28*POWER(1+'DCF - FCFF'!$D$28,5)*(1+D$89)/($A91-D$89)/POWER(1+$A91,5)-'DCF - FCFF'!$O$28)/'DCF - FCFF'!$Q$28)</f>
        <v/>
      </c>
      <c r="E91" s="13">
        <f>IF($A91-E$89&lt;0.01,NA(),('DCF - FCFF'!$B$28*SUMPRODUCT(POWER(1+'DCF - FCFF'!$D$28,{1,2,3,4,5})/POWER(1+$A91,{1,2,3,4,5}))+'DCF - FCFF'!$B$28*POWER(1+'DCF - FCFF'!$D$28,5)*(1+E$89)/($A91-E$89)/POWER(1+$A91,5)-'DCF - FCFF'!$O$28)/'DCF - FCFF'!$Q$28)</f>
        <v/>
      </c>
      <c r="F91" s="13">
        <f>IF($A91-F$89&lt;0.01,NA(),('DCF - FCFF'!$B$28*SUMPRODUCT(POWER(1+'DCF - FCFF'!$D$28,{1,2,3,4,5})/POWER(1+$A91,{1,2,3,4,5}))+'DCF - FCFF'!$B$28*POWER(1+'DCF - FCFF'!$D$28,5)*(1+F$89)/($A91-F$89)/POWER(1+$A91,5)-'DCF - FCFF'!$O$28)/'DCF - FCFF'!$Q$28)</f>
        <v/>
      </c>
      <c r="G91" s="13">
        <f>IF($A91-G$89&lt;0.01,NA(),('DCF - FCFF'!$B$28*SUMPRODUCT(POWER(1+'DCF - FCFF'!$D$28,{1,2,3,4,5})/POWER(1+$A91,{1,2,3,4,5}))+'DCF - FCFF'!$B$28*POWER(1+'DCF - FCFF'!$D$28,5)*(1+G$89)/($A91-G$89)/POWER(1+$A91,5)-'DCF - FCFF'!$O$28)/'DCF - FCFF'!$Q$28)</f>
        <v/>
      </c>
      <c r="H91" s="13">
        <f>IF($A91-H$89&lt;0.01,NA(),('DCF - FCFF'!$B$28*SUMPRODUCT(POWER(1+'DCF - FCFF'!$D$28,{1,2,3,4,5})/POWER(1+$A91,{1,2,3,4,5}))+'DCF - FCFF'!$B$28*POWER(1+'DCF - FCFF'!$D$28,5)*(1+H$89)/($A91-H$89)/POWER(1+$A91,5)-'DCF - FCFF'!$O$28)/'DCF - FCFF'!$Q$28)</f>
        <v/>
      </c>
      <c r="I91" s="13">
        <f>IF($A91-I$89&lt;0.01,NA(),('DCF - FCFF'!$B$28*SUMPRODUCT(POWER(1+'DCF - FCFF'!$D$28,{1,2,3,4,5})/POWER(1+$A91,{1,2,3,4,5}))+'DCF - FCFF'!$B$28*POWER(1+'DCF - FCFF'!$D$28,5)*(1+I$89)/($A91-I$89)/POWER(1+$A91,5)-'DCF - FCFF'!$O$28)/'DCF - FCFF'!$Q$28)</f>
        <v/>
      </c>
      <c r="J91" s="13">
        <f>IF($A91-J$89&lt;0.01,NA(),('DCF - FCFF'!$B$28*SUMPRODUCT(POWER(1+'DCF - FCFF'!$D$28,{1,2,3,4,5})/POWER(1+$A91,{1,2,3,4,5}))+'DCF - FCFF'!$B$28*POWER(1+'DCF - FCFF'!$D$28,5)*(1+J$89)/($A91-J$89)/POWER(1+$A91,5)-'DCF - FCFF'!$O$28)/'DCF - FCFF'!$Q$28)</f>
        <v/>
      </c>
    </row>
    <row r="92">
      <c r="A92" s="25">
        <f>'DCF - FCFF'!$E$28-0.01</f>
        <v/>
      </c>
      <c r="B92" s="13">
        <f>IF($A92-B$89&lt;0.01,NA(),('DCF - FCFF'!$B$28*SUMPRODUCT(POWER(1+'DCF - FCFF'!$D$28,{1,2,3,4,5})/POWER(1+$A92,{1,2,3,4,5}))+'DCF - FCFF'!$B$28*POWER(1+'DCF - FCFF'!$D$28,5)*(1+B$89)/($A92-B$89)/POWER(1+$A92,5)-'DCF - FCFF'!$O$28)/'DCF - FCFF'!$Q$28)</f>
        <v/>
      </c>
      <c r="C92" s="13">
        <f>IF($A92-C$89&lt;0.01,NA(),('DCF - FCFF'!$B$28*SUMPRODUCT(POWER(1+'DCF - FCFF'!$D$28,{1,2,3,4,5})/POWER(1+$A92,{1,2,3,4,5}))+'DCF - FCFF'!$B$28*POWER(1+'DCF - FCFF'!$D$28,5)*(1+C$89)/($A92-C$89)/POWER(1+$A92,5)-'DCF - FCFF'!$O$28)/'DCF - FCFF'!$Q$28)</f>
        <v/>
      </c>
      <c r="D92" s="13">
        <f>IF($A92-D$89&lt;0.01,NA(),('DCF - FCFF'!$B$28*SUMPRODUCT(POWER(1+'DCF - FCFF'!$D$28,{1,2,3,4,5})/POWER(1+$A92,{1,2,3,4,5}))+'DCF - FCFF'!$B$28*POWER(1+'DCF - FCFF'!$D$28,5)*(1+D$89)/($A92-D$89)/POWER(1+$A92,5)-'DCF - FCFF'!$O$28)/'DCF - FCFF'!$Q$28)</f>
        <v/>
      </c>
      <c r="E92" s="13">
        <f>IF($A92-E$89&lt;0.01,NA(),('DCF - FCFF'!$B$28*SUMPRODUCT(POWER(1+'DCF - FCFF'!$D$28,{1,2,3,4,5})/POWER(1+$A92,{1,2,3,4,5}))+'DCF - FCFF'!$B$28*POWER(1+'DCF - FCFF'!$D$28,5)*(1+E$89)/($A92-E$89)/POWER(1+$A92,5)-'DCF - FCFF'!$O$28)/'DCF - FCFF'!$Q$28)</f>
        <v/>
      </c>
      <c r="F92" s="13">
        <f>IF($A92-F$89&lt;0.01,NA(),('DCF - FCFF'!$B$28*SUMPRODUCT(POWER(1+'DCF - FCFF'!$D$28,{1,2,3,4,5})/POWER(1+$A92,{1,2,3,4,5}))+'DCF - FCFF'!$B$28*POWER(1+'DCF - FCFF'!$D$28,5)*(1+F$89)/($A92-F$89)/POWER(1+$A92,5)-'DCF - FCFF'!$O$28)/'DCF - FCFF'!$Q$28)</f>
        <v/>
      </c>
      <c r="G92" s="13">
        <f>IF($A92-G$89&lt;0.01,NA(),('DCF - FCFF'!$B$28*SUMPRODUCT(POWER(1+'DCF - FCFF'!$D$28,{1,2,3,4,5})/POWER(1+$A92,{1,2,3,4,5}))+'DCF - FCFF'!$B$28*POWER(1+'DCF - FCFF'!$D$28,5)*(1+G$89)/($A92-G$89)/POWER(1+$A92,5)-'DCF - FCFF'!$O$28)/'DCF - FCFF'!$Q$28)</f>
        <v/>
      </c>
      <c r="H92" s="13">
        <f>IF($A92-H$89&lt;0.01,NA(),('DCF - FCFF'!$B$28*SUMPRODUCT(POWER(1+'DCF - FCFF'!$D$28,{1,2,3,4,5})/POWER(1+$A92,{1,2,3,4,5}))+'DCF - FCFF'!$B$28*POWER(1+'DCF - FCFF'!$D$28,5)*(1+H$89)/($A92-H$89)/POWER(1+$A92,5)-'DCF - FCFF'!$O$28)/'DCF - FCFF'!$Q$28)</f>
        <v/>
      </c>
      <c r="I92" s="13">
        <f>IF($A92-I$89&lt;0.01,NA(),('DCF - FCFF'!$B$28*SUMPRODUCT(POWER(1+'DCF - FCFF'!$D$28,{1,2,3,4,5})/POWER(1+$A92,{1,2,3,4,5}))+'DCF - FCFF'!$B$28*POWER(1+'DCF - FCFF'!$D$28,5)*(1+I$89)/($A92-I$89)/POWER(1+$A92,5)-'DCF - FCFF'!$O$28)/'DCF - FCFF'!$Q$28)</f>
        <v/>
      </c>
      <c r="J92" s="13">
        <f>IF($A92-J$89&lt;0.01,NA(),('DCF - FCFF'!$B$28*SUMPRODUCT(POWER(1+'DCF - FCFF'!$D$28,{1,2,3,4,5})/POWER(1+$A92,{1,2,3,4,5}))+'DCF - FCFF'!$B$28*POWER(1+'DCF - FCFF'!$D$28,5)*(1+J$89)/($A92-J$89)/POWER(1+$A92,5)-'DCF - FCFF'!$O$28)/'DCF - FCFF'!$Q$28)</f>
        <v/>
      </c>
    </row>
    <row r="93">
      <c r="A93" s="25">
        <f>'DCF - FCFF'!$E$28-0.005</f>
        <v/>
      </c>
      <c r="B93" s="13">
        <f>IF($A93-B$89&lt;0.01,NA(),('DCF - FCFF'!$B$28*SUMPRODUCT(POWER(1+'DCF - FCFF'!$D$28,{1,2,3,4,5})/POWER(1+$A93,{1,2,3,4,5}))+'DCF - FCFF'!$B$28*POWER(1+'DCF - FCFF'!$D$28,5)*(1+B$89)/($A93-B$89)/POWER(1+$A93,5)-'DCF - FCFF'!$O$28)/'DCF - FCFF'!$Q$28)</f>
        <v/>
      </c>
      <c r="C93" s="13">
        <f>IF($A93-C$89&lt;0.01,NA(),('DCF - FCFF'!$B$28*SUMPRODUCT(POWER(1+'DCF - FCFF'!$D$28,{1,2,3,4,5})/POWER(1+$A93,{1,2,3,4,5}))+'DCF - FCFF'!$B$28*POWER(1+'DCF - FCFF'!$D$28,5)*(1+C$89)/($A93-C$89)/POWER(1+$A93,5)-'DCF - FCFF'!$O$28)/'DCF - FCFF'!$Q$28)</f>
        <v/>
      </c>
      <c r="D93" s="13">
        <f>IF($A93-D$89&lt;0.01,NA(),('DCF - FCFF'!$B$28*SUMPRODUCT(POWER(1+'DCF - FCFF'!$D$28,{1,2,3,4,5})/POWER(1+$A93,{1,2,3,4,5}))+'DCF - FCFF'!$B$28*POWER(1+'DCF - FCFF'!$D$28,5)*(1+D$89)/($A93-D$89)/POWER(1+$A93,5)-'DCF - FCFF'!$O$28)/'DCF - FCFF'!$Q$28)</f>
        <v/>
      </c>
      <c r="E93" s="13">
        <f>IF($A93-E$89&lt;0.01,NA(),('DCF - FCFF'!$B$28*SUMPRODUCT(POWER(1+'DCF - FCFF'!$D$28,{1,2,3,4,5})/POWER(1+$A93,{1,2,3,4,5}))+'DCF - FCFF'!$B$28*POWER(1+'DCF - FCFF'!$D$28,5)*(1+E$89)/($A93-E$89)/POWER(1+$A93,5)-'DCF - FCFF'!$O$28)/'DCF - FCFF'!$Q$28)</f>
        <v/>
      </c>
      <c r="F93" s="13">
        <f>IF($A93-F$89&lt;0.01,NA(),('DCF - FCFF'!$B$28*SUMPRODUCT(POWER(1+'DCF - FCFF'!$D$28,{1,2,3,4,5})/POWER(1+$A93,{1,2,3,4,5}))+'DCF - FCFF'!$B$28*POWER(1+'DCF - FCFF'!$D$28,5)*(1+F$89)/($A93-F$89)/POWER(1+$A93,5)-'DCF - FCFF'!$O$28)/'DCF - FCFF'!$Q$28)</f>
        <v/>
      </c>
      <c r="G93" s="13">
        <f>IF($A93-G$89&lt;0.01,NA(),('DCF - FCFF'!$B$28*SUMPRODUCT(POWER(1+'DCF - FCFF'!$D$28,{1,2,3,4,5})/POWER(1+$A93,{1,2,3,4,5}))+'DCF - FCFF'!$B$28*POWER(1+'DCF - FCFF'!$D$28,5)*(1+G$89)/($A93-G$89)/POWER(1+$A93,5)-'DCF - FCFF'!$O$28)/'DCF - FCFF'!$Q$28)</f>
        <v/>
      </c>
      <c r="H93" s="13">
        <f>IF($A93-H$89&lt;0.01,NA(),('DCF - FCFF'!$B$28*SUMPRODUCT(POWER(1+'DCF - FCFF'!$D$28,{1,2,3,4,5})/POWER(1+$A93,{1,2,3,4,5}))+'DCF - FCFF'!$B$28*POWER(1+'DCF - FCFF'!$D$28,5)*(1+H$89)/($A93-H$89)/POWER(1+$A93,5)-'DCF - FCFF'!$O$28)/'DCF - FCFF'!$Q$28)</f>
        <v/>
      </c>
      <c r="I93" s="13">
        <f>IF($A93-I$89&lt;0.01,NA(),('DCF - FCFF'!$B$28*SUMPRODUCT(POWER(1+'DCF - FCFF'!$D$28,{1,2,3,4,5})/POWER(1+$A93,{1,2,3,4,5}))+'DCF - FCFF'!$B$28*POWER(1+'DCF - FCFF'!$D$28,5)*(1+I$89)/($A93-I$89)/POWER(1+$A93,5)-'DCF - FCFF'!$O$28)/'DCF - FCFF'!$Q$28)</f>
        <v/>
      </c>
      <c r="J93" s="13">
        <f>IF($A93-J$89&lt;0.01,NA(),('DCF - FCFF'!$B$28*SUMPRODUCT(POWER(1+'DCF - FCFF'!$D$28,{1,2,3,4,5})/POWER(1+$A93,{1,2,3,4,5}))+'DCF - FCFF'!$B$28*POWER(1+'DCF - FCFF'!$D$28,5)*(1+J$89)/($A93-J$89)/POWER(1+$A93,5)-'DCF - FCFF'!$O$28)/'DCF - FCFF'!$Q$28)</f>
        <v/>
      </c>
    </row>
    <row r="94">
      <c r="A94" s="25">
        <f>'DCF - FCFF'!$E$28+0.0</f>
        <v/>
      </c>
      <c r="B94" s="13">
        <f>IF($A94-B$89&lt;0.01,NA(),('DCF - FCFF'!$B$28*SUMPRODUCT(POWER(1+'DCF - FCFF'!$D$28,{1,2,3,4,5})/POWER(1+$A94,{1,2,3,4,5}))+'DCF - FCFF'!$B$28*POWER(1+'DCF - FCFF'!$D$28,5)*(1+B$89)/($A94-B$89)/POWER(1+$A94,5)-'DCF - FCFF'!$O$28)/'DCF - FCFF'!$Q$28)</f>
        <v/>
      </c>
      <c r="C94" s="13">
        <f>IF($A94-C$89&lt;0.01,NA(),('DCF - FCFF'!$B$28*SUMPRODUCT(POWER(1+'DCF - FCFF'!$D$28,{1,2,3,4,5})/POWER(1+$A94,{1,2,3,4,5}))+'DCF - FCFF'!$B$28*POWER(1+'DCF - FCFF'!$D$28,5)*(1+C$89)/($A94-C$89)/POWER(1+$A94,5)-'DCF - FCFF'!$O$28)/'DCF - FCFF'!$Q$28)</f>
        <v/>
      </c>
      <c r="D94" s="13">
        <f>IF($A94-D$89&lt;0.01,NA(),('DCF - FCFF'!$B$28*SUMPRODUCT(POWER(1+'DCF - FCFF'!$D$28,{1,2,3,4,5})/POWER(1+$A94,{1,2,3,4,5}))+'DCF - FCFF'!$B$28*POWER(1+'DCF - FCFF'!$D$28,5)*(1+D$89)/($A94-D$89)/POWER(1+$A94,5)-'DCF - FCFF'!$O$28)/'DCF - FCFF'!$Q$28)</f>
        <v/>
      </c>
      <c r="E94" s="13">
        <f>IF($A94-E$89&lt;0.01,NA(),('DCF - FCFF'!$B$28*SUMPRODUCT(POWER(1+'DCF - FCFF'!$D$28,{1,2,3,4,5})/POWER(1+$A94,{1,2,3,4,5}))+'DCF - FCFF'!$B$28*POWER(1+'DCF - FCFF'!$D$28,5)*(1+E$89)/($A94-E$89)/POWER(1+$A94,5)-'DCF - FCFF'!$O$28)/'DCF - FCFF'!$Q$28)</f>
        <v/>
      </c>
      <c r="F94" s="13">
        <f>IF($A94-F$89&lt;0.01,NA(),('DCF - FCFF'!$B$28*SUMPRODUCT(POWER(1+'DCF - FCFF'!$D$28,{1,2,3,4,5})/POWER(1+$A94,{1,2,3,4,5}))+'DCF - FCFF'!$B$28*POWER(1+'DCF - FCFF'!$D$28,5)*(1+F$89)/($A94-F$89)/POWER(1+$A94,5)-'DCF - FCFF'!$O$28)/'DCF - FCFF'!$Q$28)</f>
        <v/>
      </c>
      <c r="G94" s="13">
        <f>IF($A94-G$89&lt;0.01,NA(),('DCF - FCFF'!$B$28*SUMPRODUCT(POWER(1+'DCF - FCFF'!$D$28,{1,2,3,4,5})/POWER(1+$A94,{1,2,3,4,5}))+'DCF - FCFF'!$B$28*POWER(1+'DCF - FCFF'!$D$28,5)*(1+G$89)/($A94-G$89)/POWER(1+$A94,5)-'DCF - FCFF'!$O$28)/'DCF - FCFF'!$Q$28)</f>
        <v/>
      </c>
      <c r="H94" s="34">
        <f>IF($A94-H$89&lt;0.01,NA(),('DCF - FCFF'!$B$28*SUMPRODUCT(POWER(1+'DCF - FCFF'!$D$28,{1,2,3,4,5})/POWER(1+$A94,{1,2,3,4,5}))+'DCF - FCFF'!$B$28*POWER(1+'DCF - FCFF'!$D$28,5)*(1+H$89)/($A94-H$89)/POWER(1+$A94,5)-'DCF - FCFF'!$O$28)/'DCF - FCFF'!$Q$28)</f>
        <v/>
      </c>
      <c r="I94" s="13">
        <f>IF($A94-I$89&lt;0.01,NA(),('DCF - FCFF'!$B$28*SUMPRODUCT(POWER(1+'DCF - FCFF'!$D$28,{1,2,3,4,5})/POWER(1+$A94,{1,2,3,4,5}))+'DCF - FCFF'!$B$28*POWER(1+'DCF - FCFF'!$D$28,5)*(1+I$89)/($A94-I$89)/POWER(1+$A94,5)-'DCF - FCFF'!$O$28)/'DCF - FCFF'!$Q$28)</f>
        <v/>
      </c>
      <c r="J94" s="13">
        <f>IF($A94-J$89&lt;0.01,NA(),('DCF - FCFF'!$B$28*SUMPRODUCT(POWER(1+'DCF - FCFF'!$D$28,{1,2,3,4,5})/POWER(1+$A94,{1,2,3,4,5}))+'DCF - FCFF'!$B$28*POWER(1+'DCF - FCFF'!$D$28,5)*(1+J$89)/($A94-J$89)/POWER(1+$A94,5)-'DCF - FCFF'!$O$28)/'DCF - FCFF'!$Q$28)</f>
        <v/>
      </c>
    </row>
    <row r="95">
      <c r="A95" s="25">
        <f>'DCF - FCFF'!$E$28+0.005</f>
        <v/>
      </c>
      <c r="B95" s="13">
        <f>IF($A95-B$89&lt;0.01,NA(),('DCF - FCFF'!$B$28*SUMPRODUCT(POWER(1+'DCF - FCFF'!$D$28,{1,2,3,4,5})/POWER(1+$A95,{1,2,3,4,5}))+'DCF - FCFF'!$B$28*POWER(1+'DCF - FCFF'!$D$28,5)*(1+B$89)/($A95-B$89)/POWER(1+$A95,5)-'DCF - FCFF'!$O$28)/'DCF - FCFF'!$Q$28)</f>
        <v/>
      </c>
      <c r="C95" s="13">
        <f>IF($A95-C$89&lt;0.01,NA(),('DCF - FCFF'!$B$28*SUMPRODUCT(POWER(1+'DCF - FCFF'!$D$28,{1,2,3,4,5})/POWER(1+$A95,{1,2,3,4,5}))+'DCF - FCFF'!$B$28*POWER(1+'DCF - FCFF'!$D$28,5)*(1+C$89)/($A95-C$89)/POWER(1+$A95,5)-'DCF - FCFF'!$O$28)/'DCF - FCFF'!$Q$28)</f>
        <v/>
      </c>
      <c r="D95" s="13">
        <f>IF($A95-D$89&lt;0.01,NA(),('DCF - FCFF'!$B$28*SUMPRODUCT(POWER(1+'DCF - FCFF'!$D$28,{1,2,3,4,5})/POWER(1+$A95,{1,2,3,4,5}))+'DCF - FCFF'!$B$28*POWER(1+'DCF - FCFF'!$D$28,5)*(1+D$89)/($A95-D$89)/POWER(1+$A95,5)-'DCF - FCFF'!$O$28)/'DCF - FCFF'!$Q$28)</f>
        <v/>
      </c>
      <c r="E95" s="13">
        <f>IF($A95-E$89&lt;0.01,NA(),('DCF - FCFF'!$B$28*SUMPRODUCT(POWER(1+'DCF - FCFF'!$D$28,{1,2,3,4,5})/POWER(1+$A95,{1,2,3,4,5}))+'DCF - FCFF'!$B$28*POWER(1+'DCF - FCFF'!$D$28,5)*(1+E$89)/($A95-E$89)/POWER(1+$A95,5)-'DCF - FCFF'!$O$28)/'DCF - FCFF'!$Q$28)</f>
        <v/>
      </c>
      <c r="F95" s="13">
        <f>IF($A95-F$89&lt;0.01,NA(),('DCF - FCFF'!$B$28*SUMPRODUCT(POWER(1+'DCF - FCFF'!$D$28,{1,2,3,4,5})/POWER(1+$A95,{1,2,3,4,5}))+'DCF - FCFF'!$B$28*POWER(1+'DCF - FCFF'!$D$28,5)*(1+F$89)/($A95-F$89)/POWER(1+$A95,5)-'DCF - FCFF'!$O$28)/'DCF - FCFF'!$Q$28)</f>
        <v/>
      </c>
      <c r="G95" s="13">
        <f>IF($A95-G$89&lt;0.01,NA(),('DCF - FCFF'!$B$28*SUMPRODUCT(POWER(1+'DCF - FCFF'!$D$28,{1,2,3,4,5})/POWER(1+$A95,{1,2,3,4,5}))+'DCF - FCFF'!$B$28*POWER(1+'DCF - FCFF'!$D$28,5)*(1+G$89)/($A95-G$89)/POWER(1+$A95,5)-'DCF - FCFF'!$O$28)/'DCF - FCFF'!$Q$28)</f>
        <v/>
      </c>
      <c r="H95" s="13">
        <f>IF($A95-H$89&lt;0.01,NA(),('DCF - FCFF'!$B$28*SUMPRODUCT(POWER(1+'DCF - FCFF'!$D$28,{1,2,3,4,5})/POWER(1+$A95,{1,2,3,4,5}))+'DCF - FCFF'!$B$28*POWER(1+'DCF - FCFF'!$D$28,5)*(1+H$89)/($A95-H$89)/POWER(1+$A95,5)-'DCF - FCFF'!$O$28)/'DCF - FCFF'!$Q$28)</f>
        <v/>
      </c>
      <c r="I95" s="13">
        <f>IF($A95-I$89&lt;0.01,NA(),('DCF - FCFF'!$B$28*SUMPRODUCT(POWER(1+'DCF - FCFF'!$D$28,{1,2,3,4,5})/POWER(1+$A95,{1,2,3,4,5}))+'DCF - FCFF'!$B$28*POWER(1+'DCF - FCFF'!$D$28,5)*(1+I$89)/($A95-I$89)/POWER(1+$A95,5)-'DCF - FCFF'!$O$28)/'DCF - FCFF'!$Q$28)</f>
        <v/>
      </c>
      <c r="J95" s="13">
        <f>IF($A95-J$89&lt;0.01,NA(),('DCF - FCFF'!$B$28*SUMPRODUCT(POWER(1+'DCF - FCFF'!$D$28,{1,2,3,4,5})/POWER(1+$A95,{1,2,3,4,5}))+'DCF - FCFF'!$B$28*POWER(1+'DCF - FCFF'!$D$28,5)*(1+J$89)/($A95-J$89)/POWER(1+$A95,5)-'DCF - FCFF'!$O$28)/'DCF - FCFF'!$Q$28)</f>
        <v/>
      </c>
    </row>
    <row r="96">
      <c r="A96" s="25">
        <f>'DCF - FCFF'!$E$28+0.01</f>
        <v/>
      </c>
      <c r="B96" s="13">
        <f>IF($A96-B$89&lt;0.01,NA(),('DCF - FCFF'!$B$28*SUMPRODUCT(POWER(1+'DCF - FCFF'!$D$28,{1,2,3,4,5})/POWER(1+$A96,{1,2,3,4,5}))+'DCF - FCFF'!$B$28*POWER(1+'DCF - FCFF'!$D$28,5)*(1+B$89)/($A96-B$89)/POWER(1+$A96,5)-'DCF - FCFF'!$O$28)/'DCF - FCFF'!$Q$28)</f>
        <v/>
      </c>
      <c r="C96" s="13">
        <f>IF($A96-C$89&lt;0.01,NA(),('DCF - FCFF'!$B$28*SUMPRODUCT(POWER(1+'DCF - FCFF'!$D$28,{1,2,3,4,5})/POWER(1+$A96,{1,2,3,4,5}))+'DCF - FCFF'!$B$28*POWER(1+'DCF - FCFF'!$D$28,5)*(1+C$89)/($A96-C$89)/POWER(1+$A96,5)-'DCF - FCFF'!$O$28)/'DCF - FCFF'!$Q$28)</f>
        <v/>
      </c>
      <c r="D96" s="13">
        <f>IF($A96-D$89&lt;0.01,NA(),('DCF - FCFF'!$B$28*SUMPRODUCT(POWER(1+'DCF - FCFF'!$D$28,{1,2,3,4,5})/POWER(1+$A96,{1,2,3,4,5}))+'DCF - FCFF'!$B$28*POWER(1+'DCF - FCFF'!$D$28,5)*(1+D$89)/($A96-D$89)/POWER(1+$A96,5)-'DCF - FCFF'!$O$28)/'DCF - FCFF'!$Q$28)</f>
        <v/>
      </c>
      <c r="E96" s="13">
        <f>IF($A96-E$89&lt;0.01,NA(),('DCF - FCFF'!$B$28*SUMPRODUCT(POWER(1+'DCF - FCFF'!$D$28,{1,2,3,4,5})/POWER(1+$A96,{1,2,3,4,5}))+'DCF - FCFF'!$B$28*POWER(1+'DCF - FCFF'!$D$28,5)*(1+E$89)/($A96-E$89)/POWER(1+$A96,5)-'DCF - FCFF'!$O$28)/'DCF - FCFF'!$Q$28)</f>
        <v/>
      </c>
      <c r="F96" s="13">
        <f>IF($A96-F$89&lt;0.01,NA(),('DCF - FCFF'!$B$28*SUMPRODUCT(POWER(1+'DCF - FCFF'!$D$28,{1,2,3,4,5})/POWER(1+$A96,{1,2,3,4,5}))+'DCF - FCFF'!$B$28*POWER(1+'DCF - FCFF'!$D$28,5)*(1+F$89)/($A96-F$89)/POWER(1+$A96,5)-'DCF - FCFF'!$O$28)/'DCF - FCFF'!$Q$28)</f>
        <v/>
      </c>
      <c r="G96" s="13">
        <f>IF($A96-G$89&lt;0.01,NA(),('DCF - FCFF'!$B$28*SUMPRODUCT(POWER(1+'DCF - FCFF'!$D$28,{1,2,3,4,5})/POWER(1+$A96,{1,2,3,4,5}))+'DCF - FCFF'!$B$28*POWER(1+'DCF - FCFF'!$D$28,5)*(1+G$89)/($A96-G$89)/POWER(1+$A96,5)-'DCF - FCFF'!$O$28)/'DCF - FCFF'!$Q$28)</f>
        <v/>
      </c>
      <c r="H96" s="13">
        <f>IF($A96-H$89&lt;0.01,NA(),('DCF - FCFF'!$B$28*SUMPRODUCT(POWER(1+'DCF - FCFF'!$D$28,{1,2,3,4,5})/POWER(1+$A96,{1,2,3,4,5}))+'DCF - FCFF'!$B$28*POWER(1+'DCF - FCFF'!$D$28,5)*(1+H$89)/($A96-H$89)/POWER(1+$A96,5)-'DCF - FCFF'!$O$28)/'DCF - FCFF'!$Q$28)</f>
        <v/>
      </c>
      <c r="I96" s="13">
        <f>IF($A96-I$89&lt;0.01,NA(),('DCF - FCFF'!$B$28*SUMPRODUCT(POWER(1+'DCF - FCFF'!$D$28,{1,2,3,4,5})/POWER(1+$A96,{1,2,3,4,5}))+'DCF - FCFF'!$B$28*POWER(1+'DCF - FCFF'!$D$28,5)*(1+I$89)/($A96-I$89)/POWER(1+$A96,5)-'DCF - FCFF'!$O$28)/'DCF - FCFF'!$Q$28)</f>
        <v/>
      </c>
      <c r="J96" s="13">
        <f>IF($A96-J$89&lt;0.01,NA(),('DCF - FCFF'!$B$28*SUMPRODUCT(POWER(1+'DCF - FCFF'!$D$28,{1,2,3,4,5})/POWER(1+$A96,{1,2,3,4,5}))+'DCF - FCFF'!$B$28*POWER(1+'DCF - FCFF'!$D$28,5)*(1+J$89)/($A96-J$89)/POWER(1+$A96,5)-'DCF - FCFF'!$O$28)/'DCF - FCFF'!$Q$28)</f>
        <v/>
      </c>
    </row>
    <row r="97">
      <c r="A97" s="25">
        <f>'DCF - FCFF'!$E$28+0.015</f>
        <v/>
      </c>
      <c r="B97" s="13">
        <f>IF($A97-B$89&lt;0.01,NA(),('DCF - FCFF'!$B$28*SUMPRODUCT(POWER(1+'DCF - FCFF'!$D$28,{1,2,3,4,5})/POWER(1+$A97,{1,2,3,4,5}))+'DCF - FCFF'!$B$28*POWER(1+'DCF - FCFF'!$D$28,5)*(1+B$89)/($A97-B$89)/POWER(1+$A97,5)-'DCF - FCFF'!$O$28)/'DCF - FCFF'!$Q$28)</f>
        <v/>
      </c>
      <c r="C97" s="13">
        <f>IF($A97-C$89&lt;0.01,NA(),('DCF - FCFF'!$B$28*SUMPRODUCT(POWER(1+'DCF - FCFF'!$D$28,{1,2,3,4,5})/POWER(1+$A97,{1,2,3,4,5}))+'DCF - FCFF'!$B$28*POWER(1+'DCF - FCFF'!$D$28,5)*(1+C$89)/($A97-C$89)/POWER(1+$A97,5)-'DCF - FCFF'!$O$28)/'DCF - FCFF'!$Q$28)</f>
        <v/>
      </c>
      <c r="D97" s="13">
        <f>IF($A97-D$89&lt;0.01,NA(),('DCF - FCFF'!$B$28*SUMPRODUCT(POWER(1+'DCF - FCFF'!$D$28,{1,2,3,4,5})/POWER(1+$A97,{1,2,3,4,5}))+'DCF - FCFF'!$B$28*POWER(1+'DCF - FCFF'!$D$28,5)*(1+D$89)/($A97-D$89)/POWER(1+$A97,5)-'DCF - FCFF'!$O$28)/'DCF - FCFF'!$Q$28)</f>
        <v/>
      </c>
      <c r="E97" s="13">
        <f>IF($A97-E$89&lt;0.01,NA(),('DCF - FCFF'!$B$28*SUMPRODUCT(POWER(1+'DCF - FCFF'!$D$28,{1,2,3,4,5})/POWER(1+$A97,{1,2,3,4,5}))+'DCF - FCFF'!$B$28*POWER(1+'DCF - FCFF'!$D$28,5)*(1+E$89)/($A97-E$89)/POWER(1+$A97,5)-'DCF - FCFF'!$O$28)/'DCF - FCFF'!$Q$28)</f>
        <v/>
      </c>
      <c r="F97" s="13">
        <f>IF($A97-F$89&lt;0.01,NA(),('DCF - FCFF'!$B$28*SUMPRODUCT(POWER(1+'DCF - FCFF'!$D$28,{1,2,3,4,5})/POWER(1+$A97,{1,2,3,4,5}))+'DCF - FCFF'!$B$28*POWER(1+'DCF - FCFF'!$D$28,5)*(1+F$89)/($A97-F$89)/POWER(1+$A97,5)-'DCF - FCFF'!$O$28)/'DCF - FCFF'!$Q$28)</f>
        <v/>
      </c>
      <c r="G97" s="13">
        <f>IF($A97-G$89&lt;0.01,NA(),('DCF - FCFF'!$B$28*SUMPRODUCT(POWER(1+'DCF - FCFF'!$D$28,{1,2,3,4,5})/POWER(1+$A97,{1,2,3,4,5}))+'DCF - FCFF'!$B$28*POWER(1+'DCF - FCFF'!$D$28,5)*(1+G$89)/($A97-G$89)/POWER(1+$A97,5)-'DCF - FCFF'!$O$28)/'DCF - FCFF'!$Q$28)</f>
        <v/>
      </c>
      <c r="H97" s="13">
        <f>IF($A97-H$89&lt;0.01,NA(),('DCF - FCFF'!$B$28*SUMPRODUCT(POWER(1+'DCF - FCFF'!$D$28,{1,2,3,4,5})/POWER(1+$A97,{1,2,3,4,5}))+'DCF - FCFF'!$B$28*POWER(1+'DCF - FCFF'!$D$28,5)*(1+H$89)/($A97-H$89)/POWER(1+$A97,5)-'DCF - FCFF'!$O$28)/'DCF - FCFF'!$Q$28)</f>
        <v/>
      </c>
      <c r="I97" s="13">
        <f>IF($A97-I$89&lt;0.01,NA(),('DCF - FCFF'!$B$28*SUMPRODUCT(POWER(1+'DCF - FCFF'!$D$28,{1,2,3,4,5})/POWER(1+$A97,{1,2,3,4,5}))+'DCF - FCFF'!$B$28*POWER(1+'DCF - FCFF'!$D$28,5)*(1+I$89)/($A97-I$89)/POWER(1+$A97,5)-'DCF - FCFF'!$O$28)/'DCF - FCFF'!$Q$28)</f>
        <v/>
      </c>
      <c r="J97" s="13">
        <f>IF($A97-J$89&lt;0.01,NA(),('DCF - FCFF'!$B$28*SUMPRODUCT(POWER(1+'DCF - FCFF'!$D$28,{1,2,3,4,5})/POWER(1+$A97,{1,2,3,4,5}))+'DCF - FCFF'!$B$28*POWER(1+'DCF - FCFF'!$D$28,5)*(1+J$89)/($A97-J$89)/POWER(1+$A97,5)-'DCF - FCFF'!$O$28)/'DCF - FCFF'!$Q$28)</f>
        <v/>
      </c>
    </row>
    <row r="98">
      <c r="A98" s="25">
        <f>'DCF - FCFF'!$E$28+0.02</f>
        <v/>
      </c>
      <c r="B98" s="13">
        <f>IF($A98-B$89&lt;0.01,NA(),('DCF - FCFF'!$B$28*SUMPRODUCT(POWER(1+'DCF - FCFF'!$D$28,{1,2,3,4,5})/POWER(1+$A98,{1,2,3,4,5}))+'DCF - FCFF'!$B$28*POWER(1+'DCF - FCFF'!$D$28,5)*(1+B$89)/($A98-B$89)/POWER(1+$A98,5)-'DCF - FCFF'!$O$28)/'DCF - FCFF'!$Q$28)</f>
        <v/>
      </c>
      <c r="C98" s="13">
        <f>IF($A98-C$89&lt;0.01,NA(),('DCF - FCFF'!$B$28*SUMPRODUCT(POWER(1+'DCF - FCFF'!$D$28,{1,2,3,4,5})/POWER(1+$A98,{1,2,3,4,5}))+'DCF - FCFF'!$B$28*POWER(1+'DCF - FCFF'!$D$28,5)*(1+C$89)/($A98-C$89)/POWER(1+$A98,5)-'DCF - FCFF'!$O$28)/'DCF - FCFF'!$Q$28)</f>
        <v/>
      </c>
      <c r="D98" s="13">
        <f>IF($A98-D$89&lt;0.01,NA(),('DCF - FCFF'!$B$28*SUMPRODUCT(POWER(1+'DCF - FCFF'!$D$28,{1,2,3,4,5})/POWER(1+$A98,{1,2,3,4,5}))+'DCF - FCFF'!$B$28*POWER(1+'DCF - FCFF'!$D$28,5)*(1+D$89)/($A98-D$89)/POWER(1+$A98,5)-'DCF - FCFF'!$O$28)/'DCF - FCFF'!$Q$28)</f>
        <v/>
      </c>
      <c r="E98" s="13">
        <f>IF($A98-E$89&lt;0.01,NA(),('DCF - FCFF'!$B$28*SUMPRODUCT(POWER(1+'DCF - FCFF'!$D$28,{1,2,3,4,5})/POWER(1+$A98,{1,2,3,4,5}))+'DCF - FCFF'!$B$28*POWER(1+'DCF - FCFF'!$D$28,5)*(1+E$89)/($A98-E$89)/POWER(1+$A98,5)-'DCF - FCFF'!$O$28)/'DCF - FCFF'!$Q$28)</f>
        <v/>
      </c>
      <c r="F98" s="13">
        <f>IF($A98-F$89&lt;0.01,NA(),('DCF - FCFF'!$B$28*SUMPRODUCT(POWER(1+'DCF - FCFF'!$D$28,{1,2,3,4,5})/POWER(1+$A98,{1,2,3,4,5}))+'DCF - FCFF'!$B$28*POWER(1+'DCF - FCFF'!$D$28,5)*(1+F$89)/($A98-F$89)/POWER(1+$A98,5)-'DCF - FCFF'!$O$28)/'DCF - FCFF'!$Q$28)</f>
        <v/>
      </c>
      <c r="G98" s="13">
        <f>IF($A98-G$89&lt;0.01,NA(),('DCF - FCFF'!$B$28*SUMPRODUCT(POWER(1+'DCF - FCFF'!$D$28,{1,2,3,4,5})/POWER(1+$A98,{1,2,3,4,5}))+'DCF - FCFF'!$B$28*POWER(1+'DCF - FCFF'!$D$28,5)*(1+G$89)/($A98-G$89)/POWER(1+$A98,5)-'DCF - FCFF'!$O$28)/'DCF - FCFF'!$Q$28)</f>
        <v/>
      </c>
      <c r="H98" s="13">
        <f>IF($A98-H$89&lt;0.01,NA(),('DCF - FCFF'!$B$28*SUMPRODUCT(POWER(1+'DCF - FCFF'!$D$28,{1,2,3,4,5})/POWER(1+$A98,{1,2,3,4,5}))+'DCF - FCFF'!$B$28*POWER(1+'DCF - FCFF'!$D$28,5)*(1+H$89)/($A98-H$89)/POWER(1+$A98,5)-'DCF - FCFF'!$O$28)/'DCF - FCFF'!$Q$28)</f>
        <v/>
      </c>
      <c r="I98" s="13">
        <f>IF($A98-I$89&lt;0.01,NA(),('DCF - FCFF'!$B$28*SUMPRODUCT(POWER(1+'DCF - FCFF'!$D$28,{1,2,3,4,5})/POWER(1+$A98,{1,2,3,4,5}))+'DCF - FCFF'!$B$28*POWER(1+'DCF - FCFF'!$D$28,5)*(1+I$89)/($A98-I$89)/POWER(1+$A98,5)-'DCF - FCFF'!$O$28)/'DCF - FCFF'!$Q$28)</f>
        <v/>
      </c>
      <c r="J98" s="13">
        <f>IF($A98-J$89&lt;0.01,NA(),('DCF - FCFF'!$B$28*SUMPRODUCT(POWER(1+'DCF - FCFF'!$D$28,{1,2,3,4,5})/POWER(1+$A98,{1,2,3,4,5}))+'DCF - FCFF'!$B$28*POWER(1+'DCF - FCFF'!$D$28,5)*(1+J$89)/($A98-J$89)/POWER(1+$A98,5)-'DCF - FCFF'!$O$28)/'DCF - FCFF'!$Q$28)</f>
        <v/>
      </c>
    </row>
    <row r="100">
      <c r="A100" s="2" t="inlineStr">
        <is>
          <t>Formula per cell: PV of 5 projected flows + Gordon TV, minus net debt, per share — all inputs pulled live from the DCF - FCFF sheet, so any assumption change propagates here.</t>
        </is>
      </c>
    </row>
  </sheetData>
  <conditionalFormatting sqref="B6:J14">
    <cfRule type="cellIs" priority="1" operator="greaterThanOrEqual" dxfId="0">
      <formula>'Market Data'!$C$2</formula>
    </cfRule>
    <cfRule type="cellIs" priority="2" operator="lessThan" dxfId="1">
      <formula>'Market Data'!$C$2</formula>
    </cfRule>
  </conditionalFormatting>
  <conditionalFormatting sqref="B18:J26">
    <cfRule type="cellIs" priority="3" operator="greaterThanOrEqual" dxfId="0">
      <formula>'Market Data'!$C$3</formula>
    </cfRule>
    <cfRule type="cellIs" priority="4" operator="lessThan" dxfId="1">
      <formula>'Market Data'!$C$3</formula>
    </cfRule>
  </conditionalFormatting>
  <conditionalFormatting sqref="B30:J38">
    <cfRule type="cellIs" priority="5" operator="greaterThanOrEqual" dxfId="0">
      <formula>'Market Data'!$C$4</formula>
    </cfRule>
    <cfRule type="cellIs" priority="6" operator="lessThan" dxfId="1">
      <formula>'Market Data'!$C$4</formula>
    </cfRule>
  </conditionalFormatting>
  <conditionalFormatting sqref="B42:J50">
    <cfRule type="cellIs" priority="7" operator="greaterThanOrEqual" dxfId="0">
      <formula>'Market Data'!$C$5</formula>
    </cfRule>
    <cfRule type="cellIs" priority="8" operator="lessThan" dxfId="1">
      <formula>'Market Data'!$C$5</formula>
    </cfRule>
  </conditionalFormatting>
  <conditionalFormatting sqref="B54:J62">
    <cfRule type="cellIs" priority="9" operator="greaterThanOrEqual" dxfId="0">
      <formula>'Market Data'!$C$6</formula>
    </cfRule>
    <cfRule type="cellIs" priority="10" operator="lessThan" dxfId="1">
      <formula>'Market Data'!$C$6</formula>
    </cfRule>
  </conditionalFormatting>
  <conditionalFormatting sqref="B66:J74">
    <cfRule type="cellIs" priority="11" operator="greaterThanOrEqual" dxfId="0">
      <formula>'Market Data'!$C$7</formula>
    </cfRule>
    <cfRule type="cellIs" priority="12" operator="lessThan" dxfId="1">
      <formula>'Market Data'!$C$7</formula>
    </cfRule>
  </conditionalFormatting>
  <conditionalFormatting sqref="B78:J86">
    <cfRule type="cellIs" priority="13" operator="greaterThanOrEqual" dxfId="0">
      <formula>'Market Data'!$C$8</formula>
    </cfRule>
    <cfRule type="cellIs" priority="14" operator="lessThan" dxfId="1">
      <formula>'Market Data'!$C$8</formula>
    </cfRule>
  </conditionalFormatting>
  <conditionalFormatting sqref="B90:J98">
    <cfRule type="cellIs" priority="15" operator="greaterThanOrEqual" dxfId="0">
      <formula>'Market Data'!$C$9</formula>
    </cfRule>
    <cfRule type="cellIs" priority="16" operator="lessThan" dxfId="1">
      <formula>'Market Data'!$C$9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2026-07-02T09:55:30Z</dcterms:created>
  <dcterms:modified xmlns:dcterms="http://purl.org/dc/terms/" xmlns:xsi="http://www.w3.org/2001/XMLSchema-instance" xsi:type="dcterms:W3CDTF">2026-07-02T09:55:30Z</dcterms:modified>
</cp:coreProperties>
</file>